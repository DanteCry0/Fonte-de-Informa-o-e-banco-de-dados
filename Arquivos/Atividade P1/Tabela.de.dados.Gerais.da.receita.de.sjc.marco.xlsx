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13_ncr:1_{3162B64E-C4CF-4DE1-957E-DC56E1B7B7EE}" xr6:coauthVersionLast="36" xr6:coauthVersionMax="36" xr10:uidLastSave="{00000000-0000-0000-0000-000000000000}"/>
  <bookViews>
    <workbookView xWindow="0" yWindow="0" windowWidth="21570" windowHeight="7890" activeTab="2" xr2:uid="{00000000-000D-0000-FFFF-FFFF00000000}"/>
  </bookViews>
  <sheets>
    <sheet name="BD- BC -Marco" sheetId="1" r:id="rId1"/>
    <sheet name="Resumo" sheetId="2" r:id="rId2"/>
    <sheet name="Aprimoramento" sheetId="3" r:id="rId3"/>
  </sheets>
  <definedNames>
    <definedName name="_xlnm._FilterDatabase" localSheetId="0" hidden="1">'BD- BC -Marco'!$A$1:$I$424</definedName>
  </definedNames>
  <calcPr calcId="191029"/>
  <pivotCaches>
    <pivotCache cacheId="5" r:id="rId4"/>
  </pivotCaches>
</workbook>
</file>

<file path=xl/calcChain.xml><?xml version="1.0" encoding="utf-8"?>
<calcChain xmlns="http://schemas.openxmlformats.org/spreadsheetml/2006/main">
  <c r="E11" i="2" l="1"/>
  <c r="E5" i="2"/>
  <c r="E6" i="2"/>
  <c r="E7" i="2"/>
  <c r="E8" i="2"/>
  <c r="E9" i="2"/>
  <c r="E10" i="2"/>
  <c r="E4" i="2"/>
</calcChain>
</file>

<file path=xl/sharedStrings.xml><?xml version="1.0" encoding="utf-8"?>
<sst xmlns="http://schemas.openxmlformats.org/spreadsheetml/2006/main" count="889" uniqueCount="849">
  <si>
    <t>Ano</t>
  </si>
  <si>
    <t>Mês</t>
  </si>
  <si>
    <t>Classificação</t>
  </si>
  <si>
    <t>Fonte</t>
  </si>
  <si>
    <t>Rubrica</t>
  </si>
  <si>
    <t>Receita</t>
  </si>
  <si>
    <t>Receita Mês (R$)</t>
  </si>
  <si>
    <t>Receita Ano (R$)</t>
  </si>
  <si>
    <t>Receita Orçada (R$)</t>
  </si>
  <si>
    <t>RECEITAS CORRENTES</t>
  </si>
  <si>
    <t>IMPOSTOS, TAXAS E CONTRIBUIÇÕES DE MELHORIA</t>
  </si>
  <si>
    <t>IMPOSTOS</t>
  </si>
  <si>
    <t>IMPOSTOS SOBRE O PATRIMÔNIO</t>
  </si>
  <si>
    <t>IMPOSTO SOBRE A PROPRIEDADE PREDIAL E TERRITORIAL URBANA</t>
  </si>
  <si>
    <t>Imposto sobre a Propriedade Predial Urbana</t>
  </si>
  <si>
    <t>Imposto sobre a Propriedade Territorial Urbana</t>
  </si>
  <si>
    <t>Imposto sobre a Propriedade Predial e Territorial Urbana - Multas e Juros</t>
  </si>
  <si>
    <t>Imposto sobre a Propriedade Predial e Territorial Urbana - Dívida Ativa</t>
  </si>
  <si>
    <t>Imposto sobre a Propriedade Predial e Territorial Urbana - Dívida Ativa - Multas e Juros</t>
  </si>
  <si>
    <t>IMPOSTOS SOBRE TRANSMISSÃO "INTER VIVOS" DE BENS IMÓVEIS E DE DIREITOS REAIS SOBRE IMÓVEIS</t>
  </si>
  <si>
    <t>Imposto sobre Transmissão “Inter Vivos” de Bens Imóveis e de Direitos Reais sobre Imóveis - Principal</t>
  </si>
  <si>
    <t>Imposto sobre Transmissão “Inter Vivos” de Bens Imóveis e de Direitos Reais sobre Imóveis - Multas e Juros</t>
  </si>
  <si>
    <t>IMPOSTOS SOBRE A RENDA E PROVENTOS DE QUALQUER NATUREZA</t>
  </si>
  <si>
    <t>IMPOSTO SOBRE A RENDA - RETIDO NA FONTE</t>
  </si>
  <si>
    <t>IMPOSTO SOBRE A RENDA - RETIDO NA FONTE - TRABALHO</t>
  </si>
  <si>
    <t>Imposto sobre a Renda - Retido na Fonte - Trabalho - Principal</t>
  </si>
  <si>
    <t>Imposto sobre a Renda - Retido na Fonte - Trabalho - Aposentados e Pensionistas</t>
  </si>
  <si>
    <t>IMPOSTO SOBRE A RENDA - RETIDO NA FONTE - OUTROS RENDIMENTOS</t>
  </si>
  <si>
    <t xml:space="preserve">Imposto sobre a Renda - Retido na Fonte - Outros Rendimentos </t>
  </si>
  <si>
    <t>IMPOSTOS SOBRE A PRODUÇÃO E CIRCULAÇÃO DE MERCADORIAS E SERVIÇOS</t>
  </si>
  <si>
    <t>IMPOSTOS SOBRE SERVIÇOS</t>
  </si>
  <si>
    <t>IMPOSTO SOBRE SERVIÇOS DE QUALQUER NATUREZA - ISSQN</t>
  </si>
  <si>
    <t>Imposto sobre Serviços de Qualquer Natureza - Não Lançado</t>
  </si>
  <si>
    <t>Imposto sobre Serviços de Qualquer Natureza - Lançado</t>
  </si>
  <si>
    <t>Imposto sobre Serviços de Qualquer Natureza - Super Simples</t>
  </si>
  <si>
    <t>Imposto sobre Serviços de Qualquer Natureza - STN Convênio</t>
  </si>
  <si>
    <t>Imposto sobre Serviços de Qualquer Natureza - Multas e Juros</t>
  </si>
  <si>
    <t>Imposto sobre Serviços de Qualquer Natureza - Dívida Ativa</t>
  </si>
  <si>
    <t>Imposto sobre Serviços de Qualquer Natureza - Dívida Ativa - Multas e Juros</t>
  </si>
  <si>
    <t>TAXAS</t>
  </si>
  <si>
    <t>TAXAS PELO EXERCÍCIO DO PODER DE POLÍCIA</t>
  </si>
  <si>
    <t>TAXAS DE INSPEÇÃO, CONTROLE E FISCALIZAÇÃO</t>
  </si>
  <si>
    <t>Taxa de Licença para Localização</t>
  </si>
  <si>
    <t>Taxa de Fiscalização e Funcionamento</t>
  </si>
  <si>
    <t>Taxa de Licença para o Exercício do Comércio Ambulante</t>
  </si>
  <si>
    <t>Taxa de Licença Exec. Obras Partic., Arruam., Loteam., e Desmembramento</t>
  </si>
  <si>
    <t>Taxa  de Licença para Publicidade</t>
  </si>
  <si>
    <t>Taxa de Licença p/ Ocup. do Solo e Logradouros Públicos</t>
  </si>
  <si>
    <t>Taxa p/ Permissão de Uso do Solo/ Subsolo/ Aéreo</t>
  </si>
  <si>
    <t>Taxa de Conformidade de Obras e Serviços</t>
  </si>
  <si>
    <t>Taxas de Inspeção, Controle e Fiscalização - Multas e Juros</t>
  </si>
  <si>
    <t>TAXA DE FISCALIZAÇÃO DE VIGILÂNCIA SANITÁRIA</t>
  </si>
  <si>
    <t>Fundo Municipal de Saúde - Taxa de Fiscalização de Vigilância Sanitária</t>
  </si>
  <si>
    <t>TAXAS PELA PRESTAÇÃO DE SERVIÇOS</t>
  </si>
  <si>
    <t>Taxa de Coleta de Lixo</t>
  </si>
  <si>
    <t>Taxa de Expediente</t>
  </si>
  <si>
    <t>Taxa Apreensão, Dep. Bens, Alinh., Nivel. E Num. de Prédios</t>
  </si>
  <si>
    <t>Fundo Municipal de Saúde - Taxa de Manutenção - Centro de Controle de Zoonoses - CCZ</t>
  </si>
  <si>
    <t>CONTRIBUIÇÃO DE MELHORIA</t>
  </si>
  <si>
    <t>CONTRIBUIÇÃO DE MELHORIA PARA PAVIMENTAÇÃO E OBRAS COMPLEMENTARES</t>
  </si>
  <si>
    <t>Contribuição de Melhoria para Pavimentação e Obras Complementares - Principal</t>
  </si>
  <si>
    <t>Contribuição de Melhoria para Pavimentação e Obras Complementares - Multas e Juros</t>
  </si>
  <si>
    <t>CONTRIBUIÇÕES</t>
  </si>
  <si>
    <t>CONTRIBUIÇÃO PARA O CUSTEIO DO SERVIÇO DE ILUMINAÇÃO PÚBLICA</t>
  </si>
  <si>
    <t>Contribuição para o Custeio do Serviço de Iluminação Pública - Territorial</t>
  </si>
  <si>
    <t>Contribuição para o Custeio do Serviço de Iluminação Pública - Predial</t>
  </si>
  <si>
    <t>RECEITA PATRIMONIAL</t>
  </si>
  <si>
    <t>EXPLORAÇÃO DO PATRIMÔNIO IMOBILIÁRIO DO ESTADO</t>
  </si>
  <si>
    <t>ALUGUÉIS, ARRENDAMENTOS, FOROS, LAUDÊMIOS, TARIFAS DE OCUPAÇÃO</t>
  </si>
  <si>
    <t>ALUGUÉIS E ARRENDAMENTOS</t>
  </si>
  <si>
    <t>Aluguéis de Imóveis Próprios Públicos</t>
  </si>
  <si>
    <t>FOROS, LAUDÊMIOS E TARIFAS DE OCUPAÇÃO</t>
  </si>
  <si>
    <t>Foros, Laudêmios e Tarifas de Ocupação - Principal</t>
  </si>
  <si>
    <t>CONCESSÃO, PERMISSÃO, AUTORIZAÇÃO OU CESSÃO DO DIREITO DE USO DE BENS IMÓVEIS PÚBLICOS</t>
  </si>
  <si>
    <t>Receita com Utilização do Centro da Juventude Fuad Cury</t>
  </si>
  <si>
    <t>Concessão Onerosa - Arena Esportiva Farma Conde</t>
  </si>
  <si>
    <t>Receita com Utilização do Centro de Treinamento do Atleta Cidadão - CTAC</t>
  </si>
  <si>
    <t>Concessão de Uso - Quiosques Banhado</t>
  </si>
  <si>
    <t>VALORES MOBILIÁRIOS</t>
  </si>
  <si>
    <t>JUROS E CORREÇÕES MONETÁRIAS</t>
  </si>
  <si>
    <t>REMUNERAÇÃO DE DEPÓSITOS BANCÁRIOS</t>
  </si>
  <si>
    <t>Juros Banc. Op. Financeiras - Fundeb</t>
  </si>
  <si>
    <t>Juros Banc. Op. Financeiras - Fundo Municipal de Saúde - FMS</t>
  </si>
  <si>
    <t>Juros Banc. Op. Financeiras - SUS - Estadual</t>
  </si>
  <si>
    <t>Juros Banc. Op. Financeiras - Fundo Nacional de Saúde - FNS</t>
  </si>
  <si>
    <t>Juros Banc. Op. Financeiras - Secretaria Municipal de Educação - SME</t>
  </si>
  <si>
    <t>Juros Banc. Op. Financeiras - Salário Educação</t>
  </si>
  <si>
    <t>Juros Banc. Op. Financeiras - Programa Nacional de Alimentação Escolar - PNAE/FNDE</t>
  </si>
  <si>
    <t>Juros Banc. Op. Financeiras - Contribuição de Intervenção no Domínio Econômico - CIDE</t>
  </si>
  <si>
    <t>Juros Banc. Op. Financeiras - Fundo Nacional de Assistência Social - FNAS</t>
  </si>
  <si>
    <t>Juros Banc. Op. Financeiras - Contribuição para o Custeio do Serviço de Iluminação Pública</t>
  </si>
  <si>
    <t>Juros Banc. Op. Financeiras - Multas de Trânsito</t>
  </si>
  <si>
    <t>Juros Banc. Op. Financeiras - Zona Azul e Outros</t>
  </si>
  <si>
    <t>Juros Banc. Op. Financeiras - Fundo de Apoio ao Desporto Joseense - FADEJ</t>
  </si>
  <si>
    <t>Juros Banc. Op. Financeiras - Convênios Estaduais - Banco do Povo Paulista</t>
  </si>
  <si>
    <t>Juros Banc. Op. Financeiras - Fundo Estadual de Assistência Social - FEAS - Proteção Social Básica</t>
  </si>
  <si>
    <t>Juros Banc. Op. Financeiras - Royalties</t>
  </si>
  <si>
    <t>Juros Banc. Op. Financeiras - Conv. Agevap - Assoc. Pró-Gestão das Águas da Bacia Hidrográfica do Rio Paraíba do Sul - Programa de Pagto Por Serv. Ambientais - PSA</t>
  </si>
  <si>
    <t>Juros Banc. Op. Financeiras - Fundo Social de Solidariedade</t>
  </si>
  <si>
    <t>Juros Banc. Op. Financeiras - Fundação de Proteção e Defesa do Consumidor - Procon</t>
  </si>
  <si>
    <t>Juros Banc. Op. Financeiras - Fundo Municipal de Conservação Ambiental - Fumcam</t>
  </si>
  <si>
    <t>Juros Banc. Op. Financeiras - Fundo Municipal de Serviços Ecossistêmicos - FMSE</t>
  </si>
  <si>
    <t>Juros Banc. Op. Financeiras - Fundo Municipal de Habitação - FMH</t>
  </si>
  <si>
    <t>Juros Banc. Op. Financeiras - Brasil Carinhoso - Manutenção de Novas Turmas</t>
  </si>
  <si>
    <t>Juros Banc. Op. Financeiras - Programa Nacional de Apoio ao Transporte Escolar - PNATE</t>
  </si>
  <si>
    <t>Juros Banc. Op. Financeiras - Programa Dinheiro Direto na Escola - PDDE</t>
  </si>
  <si>
    <t>Juros Banc. Op. Financeiras - Fundo Social de Solidariedade do Estado de São Paulo - Fussesp - Aluguel Social</t>
  </si>
  <si>
    <t>Juros Banc. Op. Financeiras - Fundo Municipal de Turismo - Fumtur</t>
  </si>
  <si>
    <t>Juros Banc. Op. Financeiras - Fundo Nacional de Desenvolvimento da Educação - FNDE - Manutenção Educação Infantil - Novos Estabelecimentos</t>
  </si>
  <si>
    <t>Juros Banc. Op. Financeiras - Fundo Municipal de Transporte - Serviço de Transporte Privado</t>
  </si>
  <si>
    <t>Juros Banc. Op. Financeiras - Fundo Municipal do Idoso - Fumid</t>
  </si>
  <si>
    <t>Juros Banc. Op. Financeiras - Recursos Próprios</t>
  </si>
  <si>
    <t>Juros Banc. Op. Financeiras - Fundo Municipal de Conservação Ambiental - FUMCAM - Saneamento Básico - Contrato Sabesp</t>
  </si>
  <si>
    <t>Juros Banc. Op. Financeiras - Depósitos Judiciais</t>
  </si>
  <si>
    <t>Juros Banc. Op. Financeiras - ABIM</t>
  </si>
  <si>
    <t>Juros Banc. Op. Financeiras - SUS Custeio de Ação e Serviços Públicos de Saúde</t>
  </si>
  <si>
    <t>Juros Banc. Op. Financeiras - Fundo Municipal de Transporte - Serviço de Compartilhamento de Bicicletas e Patinetes</t>
  </si>
  <si>
    <t>Juros Banc. Op. Financeiras - Multas por Auto de Infração - Procon</t>
  </si>
  <si>
    <t>Juros Banc. Op. Financeiras - Convênio de Instituições Privadas de Ensino na Área de Saúde - Contrapartida</t>
  </si>
  <si>
    <t>Juros Banc. Op. Financeiras - Fundo Municipal de Desenvolvimento Urbano - FMDU</t>
  </si>
  <si>
    <t>Juros Banc. Op. Financeiras - Termo de Compromisso MRV - Estrada Municipal do Bom Retiro</t>
  </si>
  <si>
    <t>Juros Banc. Op. Financeiras - Doação Causa Animal - IPTU</t>
  </si>
  <si>
    <t>Juros Banc. Op. Financeiras - Atividade Complementar Guarda Civil Municipal</t>
  </si>
  <si>
    <t>Juros Banc. Op. Financeiras - Compensação Financeira Recursos Minerais - CFEM</t>
  </si>
  <si>
    <t>Juros Banc. Op. Financeiras - Cessão Onerosa do Bônus de Assinatura do Pré-Sal</t>
  </si>
  <si>
    <t>Juros Banc. Op. Financeiras - Termo de Compromisso Ambiental REVAP Banhado</t>
  </si>
  <si>
    <t>Juros Banc. Op. Financeiras - Termo de Compromisso Ambiental REVAP Pq Augusto Ruschi</t>
  </si>
  <si>
    <t>Juros Banc. Op. Financeiras - Termo de Compromisso Ambiental REVAP Plano de Trabalho Banhado</t>
  </si>
  <si>
    <t>Juros Banc. Op. Financeiras - Emenda parlamentar - Obras de Infraestrutura Viária Arena Municipal de Esportes</t>
  </si>
  <si>
    <t>Juros Banc. Op. Financeiras - Emenda Parlamentar - Proteção ao Cidadão</t>
  </si>
  <si>
    <t>Juros Banc. Op. Financeiras - Polo Gerador de Trafégo - Fundo Municipal de Transporte</t>
  </si>
  <si>
    <t>Juros Banc. Op. Financeiras - Convênio Estadual Implantação de Academia ao Ar Livre</t>
  </si>
  <si>
    <t>Juros Banc. Op. Financeiras - COAPES - Contrato Organizativo de Ação Pública Ensino - Saúde</t>
  </si>
  <si>
    <t>Juros Banc. Op. Financeiras - Convênio Secretaria de Desenvolvimento Regional/SDR - Infraestrutura Urbana</t>
  </si>
  <si>
    <t>Juros Banc. Op. Financeiras - Fundo Municipal dos Direitos da Criança e do Adolescente - FUMDICAD</t>
  </si>
  <si>
    <t>Juros Banc. Op. Financeiras - Convênio Estadual Revitalização e Modern. Pista de Skate do Vista Verde</t>
  </si>
  <si>
    <t>Juros Banc. Op. Financeiras - FNAS - Emenda Parlamentar</t>
  </si>
  <si>
    <t>Juros Banc. Op. Financeiras - FEAS - Abrigo Institucional e Casa de Passagem</t>
  </si>
  <si>
    <t>Juros Banc. Op. Financeiras - Outorga Aeroporto Professor Urbano Stumpf</t>
  </si>
  <si>
    <t>Juros Banc. Op. Financeiras - Ministério do Desenvolvimento Social - IGD - Programa Bolsa Família</t>
  </si>
  <si>
    <t>Juros Banc. Op. Financeiras - Concessão Onerosa - Arena Esportiva Farma Conde</t>
  </si>
  <si>
    <t>Juros Banc. Op. Financeiras - Emenda Parlamentar Individual Estadual - SASC</t>
  </si>
  <si>
    <t>Juros Banc. Op. Financeiras - Fundo Estadual de Assistência Social - FEAS - Benefícios Eventuais</t>
  </si>
  <si>
    <t>Juros Banc. Op. Financeiras - Convênio Secretaria de Educação do Estado - Programa de Transporte de Alunos da Rede Estadual de Ensino</t>
  </si>
  <si>
    <t>Juros Banc. Op. Financeiras - Convênio SDE-SP – Formação de Professores e Gestores do CITE e CEDEMP</t>
  </si>
  <si>
    <t>Juros Banc. Op. Financeiras - Convênio Estadual - Cidadania no Campo - Município Agro</t>
  </si>
  <si>
    <t>Juros Banc. Op. Financeiras - Emenda Parlamentar - Investimentos Diversos</t>
  </si>
  <si>
    <t>Juros Banc. Op. Financeiras - Convênio Secretaria de Educação Estado de São Paulo - Repasse Fundeb</t>
  </si>
  <si>
    <t>Juros Banc. Op. Financeiras - Convênio Secretaria de Educação Estado de São Paulo - Repasse Salário Educação</t>
  </si>
  <si>
    <t xml:space="preserve">Juros Banc. Op. Financeiras - Compensação Ambiental - Sistema Viário Via Cambuí </t>
  </si>
  <si>
    <t>Juros Banc. Op. Financeiras - Procad SUAS</t>
  </si>
  <si>
    <t>Juros Banc. Op. Financeiras - Convênio Ministério do Esporte - Modernização do Campo do Esporte Clube Interlagos - Emenda Parlamentar Individual</t>
  </si>
  <si>
    <t>Juros Banc. Op. Financeiras - Termo de Compromisso de Compensação Ambiental - Via Cambuí - APA Federal Mananciais Rio Paraíba do Sul</t>
  </si>
  <si>
    <t>Juros Banc. Op. Financeiras - FNAS - Emenda Parlamentar Individual - Sociedade Holística Humanitária</t>
  </si>
  <si>
    <t>Juros Banc. Op. Financeiras - Piso Salarial Enfermagem</t>
  </si>
  <si>
    <t>Juros Banc. Op. Financeiras - Convênio Ministério do Esporte - Modernização e Revitalização de Pistas de Skate no Município de São José dos Campos</t>
  </si>
  <si>
    <t>Juros Banc. Op. Financeiras - FNDE - Programa Escola em Tempo Integral</t>
  </si>
  <si>
    <t>Juros Banc. Op. Financeiras - Emenda Parlamentar Individual Estadual - Aquisição de Equipamentos GCM - Stand de Tiro</t>
  </si>
  <si>
    <t>Juros Banc. Op. Financeiras - Convênio com o Ministério do Meio Ambiente e Mudança do Clima - Projeto Fazenda Urbana</t>
  </si>
  <si>
    <t>Juros Banc. Op. Financeiras - Convênio Fehidro - Restauração Ecológica no Manancial Jaguari em São José dos Campos</t>
  </si>
  <si>
    <t>Juros Banc. Op. Financeiras - Convênio Fehidro - Restauração Florestal no Manancial Jaguari em São José dos Campos</t>
  </si>
  <si>
    <t>Juros Banc. Op. Financeiras - Emenda Parlamentar Estadual - Convênio SSP-SP - Secretaria de Proteção ao Cidadão</t>
  </si>
  <si>
    <t>Juros Banc. Op. Financeiras - Fundo Estadual de Assistência Social - FEAS - Proteção Social Especial Média Complexidade</t>
  </si>
  <si>
    <t>JUROS BANC. OP. FINANCEIRAS - Convênio FEHIDRO - Manancial Jaguari - Fase II</t>
  </si>
  <si>
    <t>Juros Banc. Op. Financeiras - Convênio Departamento de Estradas de Rodagem - DER - Via Jaguari</t>
  </si>
  <si>
    <t>Juros Banc. Op. Financeiras - Emenda Parlamentar Federal Individual - Aquisição de Estande de Tiro Virtual</t>
  </si>
  <si>
    <t>Juros Banc. Op. Financeiras - Emenda Parlamentar Federal Individual - Investimentos SEPAC</t>
  </si>
  <si>
    <t>Juros Banc. Op. Financeiras - Receita com Utilização do Centro de Treinamento do Atleta Cidadão - CTAC</t>
  </si>
  <si>
    <t>Juros Banc. Op. Financeiras - Convênio Estadual Cozinhalimento - Instalação de Cozinha Piloto Experimental</t>
  </si>
  <si>
    <t>Juros Banc. Op. Financeiras - Emenda Parlamentar Federal Individual - FNAS - AAFLAP</t>
  </si>
  <si>
    <t>Juros Banc. Op. Financeiras - Emenda Parlamentar Federal Individual - FNAS - Associação Virgem de Guadalupe - Corrente</t>
  </si>
  <si>
    <t>Juros Banc. Op. Financeiras - Fundo Estadual de Assistência Social - FEAS - Custeio - Associação de Pais e Amigos dos Excepcionais de São José dos Campos - APAE-SJC</t>
  </si>
  <si>
    <t xml:space="preserve">Juros Banc. Op. Financeiras - Fundo Estadual de Assistência Social - FEAS - Vigilância Socioassistencial </t>
  </si>
  <si>
    <t>Juros Banc. Op. Financeiras - Fundo Estadual de Assistência Social - FEAS - CRAS Santa Rita</t>
  </si>
  <si>
    <t>Juros Banc. Op. Financeiras - Fundo Estadual de Assistência Social - FEAS - Custeio OSC</t>
  </si>
  <si>
    <t>Juros Banc. Op. Financeiras - Multas por Auto de Infração - Combate à Dengue</t>
  </si>
  <si>
    <t>Juros Banc. Op. Financeiras - Convênio Ministério do Esporte - Construção de Espaço Esportivo Comunitário Jd Mariana - Novo PAC</t>
  </si>
  <si>
    <t>Juros Banc. Op. Financeiras - FNDE - Construção de Creche e Escola de Educação Infantil - EMEI Jd Santa Júlia - Novo PAC</t>
  </si>
  <si>
    <t>Juros Banc. Op. Financeiras - Transferência de Recursos do SUS - Atenção Especializada - Via Emenda Parlamentar Individual</t>
  </si>
  <si>
    <t>Juros Banc. Op. Financeiras - Serviços de Suporte e Intervenção de Trânsito SEMOB - FMT</t>
  </si>
  <si>
    <t xml:space="preserve">Juros Banc. Op. Financeiras - Emenda Parlamentar Federal Individual - 40360008/2024 - Portaria 5.926/2024 - Área: Saúde - CVV	</t>
  </si>
  <si>
    <t>Juros Banc. Op. Financeiras - Emenda Parlamentar Federal Individual - 40360008/2024 - Portaria 6.122/2024 - Área: Saúde - Pio XII</t>
  </si>
  <si>
    <t>Juros Banc. Op. Financeiras - Repasse Processos Judiciais - Saúde</t>
  </si>
  <si>
    <t>Juros Banc. Op. Financeiras - SUS - Fundo Nacional de Saúde - Construção de Maternidade - Novo PAC</t>
  </si>
  <si>
    <t>Juros Banc. Op. Financeiras - Emenda Parlamentar Federal Individual - 39280003/2024 - Transferência Especial - Área: Esporte</t>
  </si>
  <si>
    <t>Juros Banc. Op. Financeiras - Emenda Parlamentar Estadual Individual - 057.71657/2025 - Área: Segurança Pública</t>
  </si>
  <si>
    <t>Juros Banc. Op. Financeiras - Emenda Parlamentar Federal Individual - 90320007/2025 - Portaria 7.413/2025 - Área: Saúde - Reforma UBS</t>
  </si>
  <si>
    <t>Juros Banc. Op. Financeiras - Operação Urbana Consorciada do Bairro Urbanova</t>
  </si>
  <si>
    <t>Juros Banc. Op. Financeiras - Fundo Municipal de Saúde - Taxas e Multas Saúde</t>
  </si>
  <si>
    <t>Juros Banc. Op. Financeiras - Emenda Parlamentar Federal Individual - 25200009/2025 - Portaria 7.518/2025 - Área: Saúde - Pio XII</t>
  </si>
  <si>
    <t>Juros Banc. Op. Financeiras - Emenda Parlamentar Federal Individual - 36110001/2025 - Portaria 7.518/2025 - Área: Saúde - Pio XII</t>
  </si>
  <si>
    <t>Juros Banc. Op. Financeiras - Emenda Parlamentar Federal Individual - 25170002/2025 - Portaria 7.518/2025 - Área: Saúde - Pio XII</t>
  </si>
  <si>
    <t>Juros Banc. Op. Financeiras - Emenda Parlamentar Federal Individual - 31600015/2025 - Portaria 7.472/2025 - Área: Saúde - Pio XII</t>
  </si>
  <si>
    <t>Juros Banc. Op. Financeiras - 	Emenda Parlamentar Federal Individual - 15680011/2025 - Portaria 7.642/2025 - Área: Saúde - Pio XII</t>
  </si>
  <si>
    <t>Juros Banc. Op. Financeiras - Emenda Parlamentar Federal Individual - 43490002/2025 - Portaria 7.505/2025 - Área: Saúde - CVV</t>
  </si>
  <si>
    <t>Juros Banc. Op. Financeiras - Emenda Parlamentar Federal Individual - 41550002/2025 - Portaria 7.474/2025 - Área: Saúde - Pio XII</t>
  </si>
  <si>
    <t>Juros Banc. Op. Financeiras - Emenda Parlamentar Federal Individual - 38990017/2025 - Portaria 7.500/2025 - Área: Saúde - Pio XII</t>
  </si>
  <si>
    <t>Juros Banc. Op. Financeiras - Emenda Parlamentar Federal Individual - 37170021/2025 - Área: Assistência Social - Alpha Lumen</t>
  </si>
  <si>
    <t>Juros Banc. Op. Financeiras - Emenda Parlamentar Federal Individual - 37300005/2025 - Portaria 7.500/2025 - Área: Saúde - Pio XII</t>
  </si>
  <si>
    <t>Juros Banc. Op. Financeiras - Emenda Parlamentar Federal Individual - 15810017/2025 - Portaria 7.518/2025 - Área: Saúde - Pio XII</t>
  </si>
  <si>
    <t>Juros Banc. Op. Financeiras - Emenda Parlamentar Federal Individual - 37170012/2025 - Portaria 7.474/2025 - Área: Saúde - Pio XII</t>
  </si>
  <si>
    <t>Juros Banc. Op. Financeiras - Emenda Parlamentar Federal Individual - 37300004/2025 - Portaria 7.413/2025 - Área: Saúde – FMS</t>
  </si>
  <si>
    <t>Juros Banc. Op. Financeiras - Emenda Parlamentar Individual - Implantação de Sala Multissensorial SEC - Alteração de Objeto</t>
  </si>
  <si>
    <t>Juros Banc. Op. Financeiras - Emenda Parlamentar Federal Individual - 37300002/2025 - Área: Assistência Social - Unidade Vicentina</t>
  </si>
  <si>
    <t>Juros Banc. Op. Financeiras - Emenda Parlamentar Federal Individual - 37460001/2025 - Portaria 8.780/2025 - Área: Saúde - Pio XII</t>
  </si>
  <si>
    <t>Juros Banc. Op. Financeiras - Emenda Parlamentar Federal Individual - 15680013/2025 - Transferência Especial - Área: Mobilidade Urbana</t>
  </si>
  <si>
    <t>Juros Banc. Op. Financeiras - Emenda Parlamentar Estadual Individual - 322.63288/2024 - Área: Esportes - Circuito Joseense de Taekwondo</t>
  </si>
  <si>
    <t>Juros Banc. Op. Financeiras - Emenda Parlamentar Federal de Comissão - 50410002/2025 - Portaria 8.886/2025 - Área: Saúde - FMS</t>
  </si>
  <si>
    <t>Juros Banc. Op. Financeiras - Emenda Parlamentar Federal de Comissão - 50410002/2025 - Portaria 8.886/2025 - Área: Saúde - Pio XII</t>
  </si>
  <si>
    <t>Juros Banc. Op. Financeiras - Transferência de Recursos do Fundo Nacional de Assistência Social - FNAS - Programa de Erradicação do Trabalho Infantil</t>
  </si>
  <si>
    <t>Juros Banc. Op. Financeiras - Transferências da Política Nacional Aldir Blanc de Fomento à Cultura - Lei nº 14.399/2022 - Ciclo 2</t>
  </si>
  <si>
    <t>Juros Banc. Op. Financeiras - Transferências de Recursos do Fundo Nacional de Assistência Social – FNAS - Piso Básico Fixo</t>
  </si>
  <si>
    <t>Juros Banc. Op. Financeiras - Transferência de Recursos do Fundo Nacional de Assistência Social - FNAS - Piso de Alta Complexidade</t>
  </si>
  <si>
    <t xml:space="preserve">Juros Banc. Op. Financeiras - Concessão de Uso - Quiosques Banhado	</t>
  </si>
  <si>
    <t>DIVIDENDOS</t>
  </si>
  <si>
    <t>Dividendos - Principal</t>
  </si>
  <si>
    <t>TRANSFERÊNCIAS CORRENTES</t>
  </si>
  <si>
    <t>TRANSFERÊNCIAS DA UNIÃO E DE SUAS ENTIDADES</t>
  </si>
  <si>
    <t>TRANSFERÊNCIAS DECORRENTES DE PARTICIPAÇÃO NA RECEITA DA UNIÃO</t>
  </si>
  <si>
    <t>COTA-PARTE DO FUNDO DE PARTICIPAÇÃO DOS MUNICÍPIOS - FPM</t>
  </si>
  <si>
    <t>COTA-PARTE DO FUNDO DE PARTICIPAÇÃO DOS MUNICÍPIOS - COTA MENSAL</t>
  </si>
  <si>
    <t>Cota-Parte do Fundo de Participação dos Municípios - Cota Mensal - Principal</t>
  </si>
  <si>
    <t>COTA-PARTE DO FUNDO DE PARTICIPAÇÃO DO MUNICÍPIOS – COTAS EXTRAORDINÁRIAS</t>
  </si>
  <si>
    <t>Cota-Parte do Fundo de Participação do Municípios - 1% Cota entregue no mês de dezembro - EC 55/2007</t>
  </si>
  <si>
    <t>Cota-Parte do Fundo de Participação dos Municípios - 1% Cota entregue no mês de julho - EC 84/2014</t>
  </si>
  <si>
    <t>Cota-Parte do Fundo de Participação do Municípios – 1% Cota entregue no mês de setembro - EC 112/2021</t>
  </si>
  <si>
    <t>COTA-PARTE DO IMPOSTO SOBRE A PROPRIEDADE TERRITORIAL RURAL</t>
  </si>
  <si>
    <t>Cota-Parte do Imposto Sobre a Propriedade Territorial Rural - ITR</t>
  </si>
  <si>
    <t>TRANSFERÊNCIAS DAS COMPENSAÇÕES FINANCEIRAS PELA EXPLORAÇÃO DE RECURSOS NATURAIS</t>
  </si>
  <si>
    <t>COTA-PARTE DA COMPENSAÇÃO FINANCEIRA PELA EXPLORAÇÃO DE RECURSOS HÍDRICOS</t>
  </si>
  <si>
    <t>Cota-parte da Compensação Financeira de Recursos Hídricos - CFH</t>
  </si>
  <si>
    <t>COTA-PARTE DA COMPENSAÇÃO FINANCEIRA PELA EXPLORAÇÃO DE RECURSOS MINERAIS - CFEM</t>
  </si>
  <si>
    <t>Cota-parte da Compensação Financeira de Recursos Minerais - CFEM</t>
  </si>
  <si>
    <t xml:space="preserve">COTA-PARTE DA COMPENSAÇÃO FINANCEIRA PELA PRODUÇÃO DE PETRÓLEO </t>
  </si>
  <si>
    <t>COTA-PARTE DA COMPENSAÇÃO FINANCEIRA PELA PRODUÇÃO DE PETRÓLEO – LEI Nº 7.990/89</t>
  </si>
  <si>
    <t>Cota-parte Royalties - Compensação Financeira pela Produção de Petróleo - Lei nº 7.990/89</t>
  </si>
  <si>
    <t>COTA-PARTE PELO EXCEDENTE DA PRODUÇÃO DO PETRÓLEO – LEI Nº 9.478/97, ARTIGO 49, I E II</t>
  </si>
  <si>
    <t>Cota-Parte Royalties pelo Excedente da Produção do Petróleo - Lei nº 9.478/97, Artigo 49, I e II - Principal</t>
  </si>
  <si>
    <t>COTA-PARTE DO FUNDO ESPECIAL DO PETRÓLEO – FEP</t>
  </si>
  <si>
    <t>Cota-Parte do Fundo Especial do Petróleo – FEP - Principal</t>
  </si>
  <si>
    <t>TRANSFERÊNCIAS DE RECURSOS DO SISTEMA ÚNICO DE SAÚDE – SUS </t>
  </si>
  <si>
    <t>TRANSFERÊNCIAS DE RECURSOS DO SISTEMA ÚNICO DE SAÚDE – SUS – REPASSES FUNDO A FUNDO - BLOCO DE MANUTENÇÃO DAS AÇÕES E SERVIÇOS PÚBLICOS DE SAÚDE</t>
  </si>
  <si>
    <t>TRANSFERÊNCIAS DE RECURSOS DO BLOCO DE MANUTENÇÃO DAS AÇÕES E SERVIÇOS PÚBLICOS DE SAÚDE – ATENÇÃO PRIMÁRIA</t>
  </si>
  <si>
    <t>SUS - Piso Atenção Básica Ampliada - PABA</t>
  </si>
  <si>
    <t>SUS - Atenção Básica - Agente Comunitário de Saúde</t>
  </si>
  <si>
    <t>TRANSFERÊNCIAS DE RECURSOS DO BLOCO DE MANUTENÇÃO DAS AÇÕES E SERVIÇOS PÚBLICOS DE SAÚDE – ATENÇÃO ESPECIALIZADA</t>
  </si>
  <si>
    <t>SUS - Gestão Plena - Sistema de Informações Hospitalares - SIH</t>
  </si>
  <si>
    <t>TRANSFERÊNCIAS DE RECURSOS DO BLOCO DE MANUTENÇÃO DAS AÇÕES E SERVIÇOS PÚBLICOS DE SAÚDE – VIGILÂNCIA EM SAÚDE</t>
  </si>
  <si>
    <t>SUS - Vigilância em Saúde - Teto Financeiro - TFVS</t>
  </si>
  <si>
    <t>SUS - Vigilância em Saúde - AIDS</t>
  </si>
  <si>
    <t>SUS - Vigilância em Saúde - Agentes de Combate às Endemias</t>
  </si>
  <si>
    <t>TRANSFERÊNCIAS DE RECURSOS DO BLOCO DE MANUTENÇÃO DAS AÇÕES E SERVIÇOS PÚBLICOS DE SAÚDE – ASSISTÊNCIA FARMACÊUTICA</t>
  </si>
  <si>
    <t>SUS - Assistência Farmacêutica - Aquisição de Medicamentos</t>
  </si>
  <si>
    <t>TRANSFERÊNCIAS DE RECURSOS DO BLOCO DE MANUTENÇÃO DAS AÇÕES E SERVIÇOS PÚBLICOS DE SAÚDE – GESTÃO DO SUS</t>
  </si>
  <si>
    <t>Assistência Financeira Complementar da União destinada ao cumprimento dos pisos salariais da enfermagem</t>
  </si>
  <si>
    <t>TRANSFERÊNCIAS DE RECURSOS DO FUNDO NACIONAL DO DESENVOLVIMENTO DA EDUCAÇÃO – FNDE¿ </t>
  </si>
  <si>
    <t>TRANSFERÊNCIAS DO SALÁRIO-EDUCAÇÃO</t>
  </si>
  <si>
    <t>Transferência do Salário Educação - Principal</t>
  </si>
  <si>
    <t>TRANSFERÊNCIAS REFERENTES AO PROGRAMA NACIONAL DE ALIMENTAÇÃO ESCOLAR – PNAE</t>
  </si>
  <si>
    <t>Programa Nacional de Alimentação Escolar - PNAE - Pré-Escola</t>
  </si>
  <si>
    <t>Programa Nacional de Alimentação Escolar - PNAE - Atendimento Educacional Especializado - AEE</t>
  </si>
  <si>
    <t>Programa Nacional de Alimentação Escolar - PNAE - Creche</t>
  </si>
  <si>
    <t>Programa Nacional de Alimentação Escolar - PNAE - Ensino Fundamental</t>
  </si>
  <si>
    <t>Programa Nacional de Alimentação Escolar - PNAE - Educação de Jovens e Adultos - EJA</t>
  </si>
  <si>
    <t>Programa Nacional de Alimentação Escolar - PNAE - Ensino Médio</t>
  </si>
  <si>
    <t>Programa Nacional de Alimentação Escolar - PNAE - Povos e Comunidades Tradicionais</t>
  </si>
  <si>
    <t>TRANSFERÊNCIAS REFERENTES AO PROGRAMA NACIONAL DE APOIO AO TRANSPORTE DO ESCOLAR – PNATE</t>
  </si>
  <si>
    <t>Programa Nacional de Apoio ao Transporte Escolar - PNATE</t>
  </si>
  <si>
    <t>TRANSFERÊNCIAS DE RECURSOS DE COMPLEMENTAÇÃO DA UNIÃO AO FUNDO DE MANUTENÇÃO E DESENVOLVIMENTO DA EDUCAÇÃO BÁSICA E DE VALORIZAÇÃO DOS PROFISSIONAIS DA EDUCAÇÃO – FUNDEB </t>
  </si>
  <si>
    <t>TRANSFERÊNCIAS DE RECURSOS DA COMPLEMENTAÇÃO DA UNIÃO AO FUNDO DE MANUTENÇÃO E DESENVOLVIMENTO DA EDUCAÇÃO BÁSICA E DE VALORIZAÇÃO DOS PROFISSIONAIS DA EDUCAÇÃO – FUNDEB</t>
  </si>
  <si>
    <t>TRANSFERÊNCIAS DE RECURSOS DE COMPLEMENTAÇÃO DA UNIÃO AO FUNDEB – VAAR</t>
  </si>
  <si>
    <t>Transferências de Recursos do FUNDEB destinados à criação de matrículas ETI</t>
  </si>
  <si>
    <t>TRANSFERÊNCIAS DE RECURSOS DO FUNDO NACIONAL DE ASSISTÊNCIA SOCIAL – FNAS </t>
  </si>
  <si>
    <t>TRANSFERÊNCIAS DE RECURSOS DO FUNDO NACIONAL DE ASSISTÊNCIA SOCIAL – FNAS</t>
  </si>
  <si>
    <t>Ministério do Desenvolvimento Social - IGD - Programa Bolsa Família</t>
  </si>
  <si>
    <t>Transferência de Recursos do Fundo Nacional de Assistência Social - FNAS - Piso de Alta Complexidade</t>
  </si>
  <si>
    <t>Transferências de Recursos do Fundo Nacional de Assistência Social – FNAS - Piso Básico Fixo</t>
  </si>
  <si>
    <t>TRANSFERÊNCIAS DE CONVÊNIOS DA UNIÃO E DE SUAS ENTIDADES</t>
  </si>
  <si>
    <t>OUTRAS TRANSFERÊNCIAS DE RECURSOS DA UNIÃO E DE SUAS ENTIDADES</t>
  </si>
  <si>
    <t>Programa Técnico Social - Ministério das Cidades</t>
  </si>
  <si>
    <t>TRANSFERÊNCIA OBRIGATÓRIA DECORRENTE DA LEI COMPLEMENTAR Nº 176/2020</t>
  </si>
  <si>
    <t>Compensação da União - LC 176/2020</t>
  </si>
  <si>
    <t>TRANSFERÊNCIAS DOS ESTADOS E DO DISTRITO FEDERAL E DE SUAS ENTIDADES</t>
  </si>
  <si>
    <t>PARTICIPAÇÃO NA RECEITA DOS ESTADOS E DISTRITO FEDERAL</t>
  </si>
  <si>
    <t>COTA-PARTE DO ICMS</t>
  </si>
  <si>
    <t>Cota-Parte do ICMS</t>
  </si>
  <si>
    <t>COTA-PARTE DO IPVA</t>
  </si>
  <si>
    <t>Cota-Parte do IPVA</t>
  </si>
  <si>
    <t>COTA-PARTE DO IPI - MUNICÍPIOS</t>
  </si>
  <si>
    <t>Cota-Parte do IPI - Exportação - Lei 61/1989</t>
  </si>
  <si>
    <t>COTA-PARTE DA CONTRIBUIÇÃO DE INTERVENÇÃO NO DOMÍNIO ECONÔMICO</t>
  </si>
  <si>
    <t>Cota-Parte da Contribuição de Intervenção no Domínio Econômico</t>
  </si>
  <si>
    <t>TRANSFERÊNCIAS DE CONVÊNIOS DOS ESTADOS E DF E DE SUAS ENTIDADES</t>
  </si>
  <si>
    <t>TRANSFERÊNCIAS DE CONVÊNIOS DOS ESTADOS E DF PARA O SISTEMA ÚNICO DE SAÚDE – SUS</t>
  </si>
  <si>
    <t>SUS - Estadual - Atenção Básica</t>
  </si>
  <si>
    <t>SUS - Estadual - MAC - Média e Alta Complexidade</t>
  </si>
  <si>
    <t>SUS - Estadual - Vigilância em Saúde</t>
  </si>
  <si>
    <t>SUS - Estadual - Assistência Farmacêutica</t>
  </si>
  <si>
    <t>TRANSFERÊNCIAS DE CONVÊNIOS DOS ESTADOS DESTINADAS A PROGRAMAS DE EDUCAÇÃO</t>
  </si>
  <si>
    <t>Convênio Secretaria de Educação do Estado - Programa de Transporte de Alunos da Rede Estadual de Ensino</t>
  </si>
  <si>
    <t>OUTRAS TRANSFERÊNCIAS DE CONVÊNIOS DOS ESTADOS E DF E DE SUAS ENTIDADES</t>
  </si>
  <si>
    <t>Convênio com a Fundação de Proteção e Defesa do Consumidor - PROCON</t>
  </si>
  <si>
    <t>OUTRAS TRANSFERÊNCIAS DOS ESTADOS E DISTRITO FEDERAL</t>
  </si>
  <si>
    <t>TRANSFERÊNCIAS DE ESTADOS DESTINADAS À ASSISTÊNCIA SOCIAL</t>
  </si>
  <si>
    <t>Fundo Estadual de Assistência Social - FEAS - Proteção Social Básica</t>
  </si>
  <si>
    <t>Fundo Estadual de Assistência Social - FEAS - Benefícios Eventuais</t>
  </si>
  <si>
    <t>Fundo Estadual de Assistência Social - FEAS - Proteção Social Especial Média Complexidade</t>
  </si>
  <si>
    <t>TRANSFERÊNCIAS DOS MUNICÍPIOS E DE SUAS ENTIDADES</t>
  </si>
  <si>
    <t>TRANSFERÊNCIAS DE CONVÊNIOS DOS MUNICÍPIOS E DE SUAS ENTIDADES</t>
  </si>
  <si>
    <t>Convênio Prefeitura Monteiro Lobato - Pavimentação de Estradas Municipais</t>
  </si>
  <si>
    <t>TRANSFERÊNCIAS DE OUTRAS INSTITUIÇÕES PÚBLICAS</t>
  </si>
  <si>
    <t>TRANSFERÊNCIAS DE RECURSOS DO FUNDO DE MANUTENÇÃO E DESENVOLVIMENTO DA EDUCAÇÃO BÁSICA E DE VALORIZAÇÃO DOS PROFISSIONAIS DA EDUCAÇÃO - FUNDEB</t>
  </si>
  <si>
    <t>TRANSFERÊNCIAS DE RECURSOS DO FUNDO DE MANUTENÇÃO E DESENVOLVIMENTO DA EDUCAÇÃO BÁSICA E DE VALORIZAÇÃO DOS PROFISSIONAIS DA EDUCAÇÃO – FUNDEB</t>
  </si>
  <si>
    <t>FUNDEB - FPM</t>
  </si>
  <si>
    <t>FUNDEB - ITR</t>
  </si>
  <si>
    <t>FUNDEB - ICMS</t>
  </si>
  <si>
    <t>FUNDEB - IPI</t>
  </si>
  <si>
    <t>FUNDEB - IPVA</t>
  </si>
  <si>
    <t>FUNDEB - ITCMD</t>
  </si>
  <si>
    <t>FUNDEB - FPE</t>
  </si>
  <si>
    <t>OUTRAS RECEITAS CORRENTES</t>
  </si>
  <si>
    <t>MULTAS ADMINISTRATIVAS, CONTRATUAIS E JUDICIAIS</t>
  </si>
  <si>
    <t>MULTAS PREVISTAS EM LEGISLAÇÃO ESPECÍFICA</t>
  </si>
  <si>
    <t>MULTAS PREVISTAS EM LEGISLAÇÃO ESPECÍFICA -  PRINCIPAL</t>
  </si>
  <si>
    <t>Multas por Auto de Infração - Recursos Próprios</t>
  </si>
  <si>
    <t>Multas por Auto de Infração - Fundo Municipal de Saúde - Vigilância Sanitária</t>
  </si>
  <si>
    <t>Multas por Auto de Infração - Combate à Dengue</t>
  </si>
  <si>
    <t>Multas por Auto de Infração - Procon</t>
  </si>
  <si>
    <t>Multas Junta de Justiça Desportiva - FADEJ</t>
  </si>
  <si>
    <t>MULTAS PREVISTAS EM LEGISLAÇÃO ESPECÍFICA -  MULTAS E JUROS</t>
  </si>
  <si>
    <t>Juros de Mora - Multas por Auto de Infração - Procon</t>
  </si>
  <si>
    <t>MULTAS PREVISTAS EM LEGISLAÇÃO ESPECÍFICA -  DÍVIDA ATIVA</t>
  </si>
  <si>
    <t>Dívida Ativa Não Tributária - Multas por Auto de Infração - Recursos Próprios</t>
  </si>
  <si>
    <t>Dívida Ativa - Multa por Auto de Infração - Procon</t>
  </si>
  <si>
    <t>MULTAS PREVISTAS EM LEGISLAÇÃO ESPECÍFICA - DÍVIDA ATIVA - MULTAS E JUROS</t>
  </si>
  <si>
    <t>Dívida Ativa - Juros de Mora, Multa e Atualização Monetária - Procon</t>
  </si>
  <si>
    <t>MULTAS E JUROS PREVISTOS EM CONTRATOS</t>
  </si>
  <si>
    <t>Multas e Juros Previstos em Contratos -  Principal</t>
  </si>
  <si>
    <t>Multas e Juros Previstos em Contratos -  Dívida Ativa</t>
  </si>
  <si>
    <t>MULTAS PREVISTAS NO CÓDIGO DE TRÂNSITO BRASILEIRO - CTB</t>
  </si>
  <si>
    <t>Multas Previstas na Legislação de Trânsito - Normal</t>
  </si>
  <si>
    <t>Multas Previstas na Legislação de Trânsito - Funset</t>
  </si>
  <si>
    <t>Div. Ativa Não Trib. - Multas Prev. Legislação de Trânsito - Normal</t>
  </si>
  <si>
    <t>Div. Ativa Não Trib. - Multas Prev. Legislação de Trânsito - Parcelamento</t>
  </si>
  <si>
    <t>INDENIZAÇÕES, RESTITUIÇÕES E RESSARCIMENTOS</t>
  </si>
  <si>
    <t>INDENIZAÇÕES</t>
  </si>
  <si>
    <t>OUTRAS INDENIZAÇÕES</t>
  </si>
  <si>
    <t>Indenizações</t>
  </si>
  <si>
    <t>RESTITUIÇÕES</t>
  </si>
  <si>
    <t>RESTITUIÇÃO DE DESPESAS DE EXERCÍCIOS ANTERIORES</t>
  </si>
  <si>
    <t>RESTITUIÇÃO DE DESPESAS PRIMÁRIAS DE EXERCÍCIOS ANTERIORES</t>
  </si>
  <si>
    <t>Restituição de Despesas de Exercícios Anteriores</t>
  </si>
  <si>
    <t>DEMAIS RECEITAS CORRENTES</t>
  </si>
  <si>
    <t>OUTRAS RECEITAS</t>
  </si>
  <si>
    <t xml:space="preserve">OUTRAS RECEITAS NÃO ARRECADADAS E NÃO PROJETADAS PELA RFB - PRIMÁRIAS  </t>
  </si>
  <si>
    <t>Fundo Municipal de Assistência Social - FMAS</t>
  </si>
  <si>
    <t>Fundo de Apoio ao Desporto Joseense - FADEJ</t>
  </si>
  <si>
    <t>Fundo Municipal de Turismo - FUMTUR</t>
  </si>
  <si>
    <t>Diversas Rendas - Recursos Próprios</t>
  </si>
  <si>
    <t>Repasse Processos Judiciais - Saúde</t>
  </si>
  <si>
    <t>Zona Azul e outras</t>
  </si>
  <si>
    <t>Fundo Social de Solidariedade</t>
  </si>
  <si>
    <t>Fundo Municipal Antidrogas</t>
  </si>
  <si>
    <t>Fundo Municipal de Conservação Ambiental - FUMCAM - Saneamento Básico - Contrato Sabesp</t>
  </si>
  <si>
    <t>Fundo Municipal de Habitação - FMH</t>
  </si>
  <si>
    <t>Fundo Municipal de Preservação do Patr. Histórico, Artístico, Paisagístico e Cultural - FUMPHAC</t>
  </si>
  <si>
    <t>Fundo Municipal do Idoso</t>
  </si>
  <si>
    <t>Fundo Municipal de Serviços Ecossistêmicos</t>
  </si>
  <si>
    <t>Fundo Municipal de Conservação Ambiental - FUMCAM</t>
  </si>
  <si>
    <t>Depósitos Judiciais - Lei 151/2015</t>
  </si>
  <si>
    <t>Fundo Municipal de Transportes - Serviço de Transporte Privado</t>
  </si>
  <si>
    <t>Fundo Municipal de Transportes -  Serviço de Compartilhamento de Bicicletas e Patinetes</t>
  </si>
  <si>
    <t>Doação Causa Animal - IPTU</t>
  </si>
  <si>
    <t>Fundo Municipal de Desenvolvimento Urbano - FMDU</t>
  </si>
  <si>
    <t>Atividade Complementar Guarda Civil Municipal</t>
  </si>
  <si>
    <t>Fundo Municipal dos Direitos da Criança e do Adolescente - FUMDICAD</t>
  </si>
  <si>
    <t>Serviços de Suporte e Intervenção de Trânsito SEMOB - FMT</t>
  </si>
  <si>
    <t>Divida Ativa Não Tributária - Outras</t>
  </si>
  <si>
    <t>Multas e Juros de Mora da Dívida Ativa de Outros Tributos</t>
  </si>
  <si>
    <t>RECEITAS DE CAPITAL</t>
  </si>
  <si>
    <t>OPERAÇÕES DE CRÉDITO</t>
  </si>
  <si>
    <t>OPERAÇÕES DE CRÉDITO - MERCADO INTERNO</t>
  </si>
  <si>
    <t>OUTRAS OPERAÇÕES DE CRÉDITO - MERCADO INTERNO</t>
  </si>
  <si>
    <t>Operação de Crédito - Programa Pró-Transporte, Eixo Cidades Sustentáveis e Resilientes</t>
  </si>
  <si>
    <t>Operação de Crédito - Programa Pró-Moradia</t>
  </si>
  <si>
    <t>ALIENAÇÃO DE BENS</t>
  </si>
  <si>
    <t>ALIENAÇÃO DE BENS MÓVEIS</t>
  </si>
  <si>
    <t>ALIENAÇÃO DE TÍTULOS MOBILIÁRIOS</t>
  </si>
  <si>
    <t>ALIENAÇÃO DE TÍTULOS, VALORES MOBILIÁRIOS E APLICAÇÕES CONGÊNERES TEMPORÁRIAS</t>
  </si>
  <si>
    <t>Alienação de Títulos Mobiliários</t>
  </si>
  <si>
    <t>TRANSFERÊNCIAS DE CAPITAL</t>
  </si>
  <si>
    <t>TRANSFERÊNCIAS DE RECURSOS DO SISTEMA ÚNICO DE SAÚDE - SUS</t>
  </si>
  <si>
    <t>TRANSFERÊNCIAS DE RECURSOS DO SISTEMA ÚNICO DE SAÚDE – SUS - FUNDO A FUNDO - BLOCO DE ESTRUTURAÇÃO DA REDE DE SERVIÇOS PÚBLICOS DE SAÚDE</t>
  </si>
  <si>
    <t>TRANSFERÊNCIAS DE RECURSOS DO BLOCO DE ESTRUTURAÇÃO DA REDE DE SERVIÇOS PÚBLICOS DE SAÚDE - ATENÇÃO ESPECIALIZADA</t>
  </si>
  <si>
    <t>SUS - Fundo Nacional de Saúde - Construção de Maternidade - Novo PAC</t>
  </si>
  <si>
    <t>TRANSFERÊNCIAS DE CONVÊNIOS DOS ESTADOS E DF E DE SUAS ENTIDADES </t>
  </si>
  <si>
    <t>Convênio CDHU - Construção de Unidades Habitacionais</t>
  </si>
  <si>
    <t>Emenda Parlamentar Estadual Individual - 325.66369/2025 - Área: Obras - Construção de Praça no Jd. das Indústrias</t>
  </si>
  <si>
    <t>Convênio Fehidro - GAP Residencial Flamboyant</t>
  </si>
  <si>
    <t>Convênio Fehidro - Contenção na Margem do Córrego Senhorinha</t>
  </si>
  <si>
    <t>Restauração da Igreja São Benedito - Secretaria de Governo e Relações Institucionais</t>
  </si>
  <si>
    <t>Emenda Parlamentar Estadual Individual - 429.20005/2025 - Área: Segurança Pública - Aquisição Viatura GCM</t>
  </si>
  <si>
    <t>TRANSFERÊNCIAS DE INSTITUIÇÕES PRIVADAS</t>
  </si>
  <si>
    <t>OUTRAS TRANSFERÊNCIAS DE INSTITUIÇÕES PRIVADAS</t>
  </si>
  <si>
    <t>Convênio de Instituições Privadas de Ensino na Área de Saúde - Contrapartida - Investimentos</t>
  </si>
  <si>
    <t>Polo Gerador de Trafégo - Fundo Municipal de Transporte</t>
  </si>
  <si>
    <t>COAPES - Contrato Organizativo de Ação Pública Ensino - Saúde</t>
  </si>
  <si>
    <t>Dedução da Receita Corrente</t>
  </si>
  <si>
    <t>Dedução</t>
  </si>
  <si>
    <t>Dedução da Receita</t>
  </si>
  <si>
    <t>Dedução de Receita para Formação do Fundeb - União</t>
  </si>
  <si>
    <t>Dedução de Receita para Formação do Fundeb - FPM</t>
  </si>
  <si>
    <t>Dedução de Receita para Formação Do Fundeb - ITR</t>
  </si>
  <si>
    <t>Dedução para Formação do Fundeb - Estadual</t>
  </si>
  <si>
    <t>® DEDUÇÃO DAS RECEITAS DE TRANSFERENCIA DO UNIÃO</t>
  </si>
  <si>
    <t>Dedução de Receita para Formação do Fundeb - ICMS</t>
  </si>
  <si>
    <t>Dedução de Receita para Formação do Fundeb - IPVA</t>
  </si>
  <si>
    <t>Dedução de Receita para Formação do Fundeb - IPI</t>
  </si>
  <si>
    <t>10000000000</t>
  </si>
  <si>
    <t>11000000000</t>
  </si>
  <si>
    <t>11100000000</t>
  </si>
  <si>
    <t>11120000000</t>
  </si>
  <si>
    <t>11125000000</t>
  </si>
  <si>
    <t>11125001001</t>
  </si>
  <si>
    <t>11125001002</t>
  </si>
  <si>
    <t>11125002001</t>
  </si>
  <si>
    <t>11125003001</t>
  </si>
  <si>
    <t>11125004001</t>
  </si>
  <si>
    <t>11125300000</t>
  </si>
  <si>
    <t>11125301001</t>
  </si>
  <si>
    <t>11125302001</t>
  </si>
  <si>
    <t>11130000000</t>
  </si>
  <si>
    <t>11130300000</t>
  </si>
  <si>
    <t>11130310000</t>
  </si>
  <si>
    <t>11130311001</t>
  </si>
  <si>
    <t>11130311002</t>
  </si>
  <si>
    <t>11130340000</t>
  </si>
  <si>
    <t>11130341001</t>
  </si>
  <si>
    <t>11140000000</t>
  </si>
  <si>
    <t>11145100000</t>
  </si>
  <si>
    <t>11145110000</t>
  </si>
  <si>
    <t>11145111001</t>
  </si>
  <si>
    <t>11145111002</t>
  </si>
  <si>
    <t>11145111003</t>
  </si>
  <si>
    <t>11145111004</t>
  </si>
  <si>
    <t>11145112001</t>
  </si>
  <si>
    <t>11145113001</t>
  </si>
  <si>
    <t>11145114001</t>
  </si>
  <si>
    <t>11200000000</t>
  </si>
  <si>
    <t>11210000000</t>
  </si>
  <si>
    <t>11210100000</t>
  </si>
  <si>
    <t>11210101001</t>
  </si>
  <si>
    <t>11210101002</t>
  </si>
  <si>
    <t>11210101003</t>
  </si>
  <si>
    <t>11210101004</t>
  </si>
  <si>
    <t>11210101005</t>
  </si>
  <si>
    <t>11210101006</t>
  </si>
  <si>
    <t>11210101007</t>
  </si>
  <si>
    <t>11210101008</t>
  </si>
  <si>
    <t>11210102001</t>
  </si>
  <si>
    <t>11215000000</t>
  </si>
  <si>
    <t>11215001001</t>
  </si>
  <si>
    <t>11220000000</t>
  </si>
  <si>
    <t>11220100000</t>
  </si>
  <si>
    <t>11220101001</t>
  </si>
  <si>
    <t>11220101002</t>
  </si>
  <si>
    <t>11220101003</t>
  </si>
  <si>
    <t>11220101004</t>
  </si>
  <si>
    <t>11300000000</t>
  </si>
  <si>
    <t>11310000000</t>
  </si>
  <si>
    <t>11315300000</t>
  </si>
  <si>
    <t>11315301001</t>
  </si>
  <si>
    <t>11315302001</t>
  </si>
  <si>
    <t>12000000000</t>
  </si>
  <si>
    <t>12400000000</t>
  </si>
  <si>
    <t>12410000000</t>
  </si>
  <si>
    <t>12415000000</t>
  </si>
  <si>
    <t>12415001001</t>
  </si>
  <si>
    <t>12415001002</t>
  </si>
  <si>
    <t>13000000000</t>
  </si>
  <si>
    <t>13100000000</t>
  </si>
  <si>
    <t>13110000000</t>
  </si>
  <si>
    <t>13110100000</t>
  </si>
  <si>
    <t>13110110000</t>
  </si>
  <si>
    <t>13110111001</t>
  </si>
  <si>
    <t>13110120000</t>
  </si>
  <si>
    <t>13110121001</t>
  </si>
  <si>
    <t>13110200000</t>
  </si>
  <si>
    <t>13110211001</t>
  </si>
  <si>
    <t>13110211002</t>
  </si>
  <si>
    <t>13110211003</t>
  </si>
  <si>
    <t>13110211004</t>
  </si>
  <si>
    <t>13200000000</t>
  </si>
  <si>
    <t>13210000000</t>
  </si>
  <si>
    <t>13210100000</t>
  </si>
  <si>
    <t>13210101001</t>
  </si>
  <si>
    <t>13210101002</t>
  </si>
  <si>
    <t>13210101006</t>
  </si>
  <si>
    <t>13210101007</t>
  </si>
  <si>
    <t>13210101008</t>
  </si>
  <si>
    <t>13210101009</t>
  </si>
  <si>
    <t>13210101010</t>
  </si>
  <si>
    <t>13210101012</t>
  </si>
  <si>
    <t>13210101013</t>
  </si>
  <si>
    <t>13210101014</t>
  </si>
  <si>
    <t>13210101016</t>
  </si>
  <si>
    <t>13210101017</t>
  </si>
  <si>
    <t>13210101018</t>
  </si>
  <si>
    <t>13210101040</t>
  </si>
  <si>
    <t>13210101041</t>
  </si>
  <si>
    <t>13210101042</t>
  </si>
  <si>
    <t>13210101045</t>
  </si>
  <si>
    <t>13210101048</t>
  </si>
  <si>
    <t>13210101049</t>
  </si>
  <si>
    <t>13210101050</t>
  </si>
  <si>
    <t>13210101051</t>
  </si>
  <si>
    <t>13210101053</t>
  </si>
  <si>
    <t>13210101055</t>
  </si>
  <si>
    <t>13210101056</t>
  </si>
  <si>
    <t>13210101057</t>
  </si>
  <si>
    <t>13210101058</t>
  </si>
  <si>
    <t>13210101059</t>
  </si>
  <si>
    <t>13210101060</t>
  </si>
  <si>
    <t>13210101061</t>
  </si>
  <si>
    <t>13210101067</t>
  </si>
  <si>
    <t>13210101070</t>
  </si>
  <si>
    <t>13210101071</t>
  </si>
  <si>
    <t>13210101072</t>
  </si>
  <si>
    <t>13210101073</t>
  </si>
  <si>
    <t>13210101074</t>
  </si>
  <si>
    <t>13210101076</t>
  </si>
  <si>
    <t>13210101083</t>
  </si>
  <si>
    <t>13210101085</t>
  </si>
  <si>
    <t>13210101086</t>
  </si>
  <si>
    <t>13210101087</t>
  </si>
  <si>
    <t>13210101089</t>
  </si>
  <si>
    <t>13210101096</t>
  </si>
  <si>
    <t>13210101098</t>
  </si>
  <si>
    <t>13210101101</t>
  </si>
  <si>
    <t>13210101107</t>
  </si>
  <si>
    <t>13210101108</t>
  </si>
  <si>
    <t>13210101109</t>
  </si>
  <si>
    <t>13210101113</t>
  </si>
  <si>
    <t>13210101114</t>
  </si>
  <si>
    <t>13210101115</t>
  </si>
  <si>
    <t>13210101132</t>
  </si>
  <si>
    <t>13210101133</t>
  </si>
  <si>
    <t>13210101137</t>
  </si>
  <si>
    <t>13210101140</t>
  </si>
  <si>
    <t>13210101141</t>
  </si>
  <si>
    <t>13210101142</t>
  </si>
  <si>
    <t>13210101147</t>
  </si>
  <si>
    <t>13210101149</t>
  </si>
  <si>
    <t>13210101150</t>
  </si>
  <si>
    <t>13210101151</t>
  </si>
  <si>
    <t>13210101153</t>
  </si>
  <si>
    <t>13210101156</t>
  </si>
  <si>
    <t>13210101157</t>
  </si>
  <si>
    <t>13210101160</t>
  </si>
  <si>
    <t>13210101161</t>
  </si>
  <si>
    <t>13210101162</t>
  </si>
  <si>
    <t>13210101164</t>
  </si>
  <si>
    <t>13210101165</t>
  </si>
  <si>
    <t>13210101169</t>
  </si>
  <si>
    <t>13210101170</t>
  </si>
  <si>
    <t>13210101171</t>
  </si>
  <si>
    <t>13210101173</t>
  </si>
  <si>
    <t>13210101175</t>
  </si>
  <si>
    <t>13210101178</t>
  </si>
  <si>
    <t>13210101179</t>
  </si>
  <si>
    <t>13210101181</t>
  </si>
  <si>
    <t>13210101183</t>
  </si>
  <si>
    <t>13210101185</t>
  </si>
  <si>
    <t>13210101186</t>
  </si>
  <si>
    <t>13210101187</t>
  </si>
  <si>
    <t>13210101188</t>
  </si>
  <si>
    <t>13210101191</t>
  </si>
  <si>
    <t>13210101199</t>
  </si>
  <si>
    <t>13210101200</t>
  </si>
  <si>
    <t>13210101202</t>
  </si>
  <si>
    <t>13210101204</t>
  </si>
  <si>
    <t>13210101205</t>
  </si>
  <si>
    <t>13210101207</t>
  </si>
  <si>
    <t>13210101208</t>
  </si>
  <si>
    <t>13210101209</t>
  </si>
  <si>
    <t>13210101210</t>
  </si>
  <si>
    <t>13210101211</t>
  </si>
  <si>
    <t>13210101212</t>
  </si>
  <si>
    <t>13210101213</t>
  </si>
  <si>
    <t>13210101214</t>
  </si>
  <si>
    <t>13210101215</t>
  </si>
  <si>
    <t>13210101216</t>
  </si>
  <si>
    <t>13210101217</t>
  </si>
  <si>
    <t>13210101219</t>
  </si>
  <si>
    <t>13210101220</t>
  </si>
  <si>
    <t>13210101222</t>
  </si>
  <si>
    <t>13210101223</t>
  </si>
  <si>
    <t>13210101224</t>
  </si>
  <si>
    <t>13210101225</t>
  </si>
  <si>
    <t>13210101226</t>
  </si>
  <si>
    <t>13210101228</t>
  </si>
  <si>
    <t>13210101229</t>
  </si>
  <si>
    <t>13210101231</t>
  </si>
  <si>
    <t>13210101232</t>
  </si>
  <si>
    <t>13210101233</t>
  </si>
  <si>
    <t>13210101234</t>
  </si>
  <si>
    <t>13210101239</t>
  </si>
  <si>
    <t>13210101240</t>
  </si>
  <si>
    <t>13210101241</t>
  </si>
  <si>
    <t>13210101242</t>
  </si>
  <si>
    <t>13210101243</t>
  </si>
  <si>
    <t>13210101244</t>
  </si>
  <si>
    <t>13210101245</t>
  </si>
  <si>
    <t>13210101246</t>
  </si>
  <si>
    <t>13210101247</t>
  </si>
  <si>
    <t>13210101248</t>
  </si>
  <si>
    <t>13210101249</t>
  </si>
  <si>
    <t>13210101250</t>
  </si>
  <si>
    <t>13210101251</t>
  </si>
  <si>
    <t>13210101252</t>
  </si>
  <si>
    <t>13210101253</t>
  </si>
  <si>
    <t>13210101254</t>
  </si>
  <si>
    <t>13210101255</t>
  </si>
  <si>
    <t>13210101256</t>
  </si>
  <si>
    <t>13210101257</t>
  </si>
  <si>
    <t>13210101258</t>
  </si>
  <si>
    <t>13210101259</t>
  </si>
  <si>
    <t>13210101260</t>
  </si>
  <si>
    <t>13220000000</t>
  </si>
  <si>
    <t>13220100000</t>
  </si>
  <si>
    <t>13220101001</t>
  </si>
  <si>
    <t>17000000000</t>
  </si>
  <si>
    <t>17100000000</t>
  </si>
  <si>
    <t>17110000000</t>
  </si>
  <si>
    <t>17115100000</t>
  </si>
  <si>
    <t>17115110000</t>
  </si>
  <si>
    <t>17115111001</t>
  </si>
  <si>
    <t>17115120000</t>
  </si>
  <si>
    <t>17115121001</t>
  </si>
  <si>
    <t>17115121002</t>
  </si>
  <si>
    <t>17115121003</t>
  </si>
  <si>
    <t>17115200000</t>
  </si>
  <si>
    <t>17115201001</t>
  </si>
  <si>
    <t>17120000000</t>
  </si>
  <si>
    <t>17125000000</t>
  </si>
  <si>
    <t>17125001001</t>
  </si>
  <si>
    <t>17125100000</t>
  </si>
  <si>
    <t>17125101001</t>
  </si>
  <si>
    <t>17125200000</t>
  </si>
  <si>
    <t>17125210000</t>
  </si>
  <si>
    <t>17125211001</t>
  </si>
  <si>
    <t>17125220000</t>
  </si>
  <si>
    <t>17125221001</t>
  </si>
  <si>
    <t>17125240000</t>
  </si>
  <si>
    <t>17125241001</t>
  </si>
  <si>
    <t>17130000000</t>
  </si>
  <si>
    <t>17135000000</t>
  </si>
  <si>
    <t>17135010000</t>
  </si>
  <si>
    <t>17135011001</t>
  </si>
  <si>
    <t>17135011004</t>
  </si>
  <si>
    <t>17135020000</t>
  </si>
  <si>
    <t>17135021001</t>
  </si>
  <si>
    <t>17135030000</t>
  </si>
  <si>
    <t>17135031001</t>
  </si>
  <si>
    <t>17135031002</t>
  </si>
  <si>
    <t>17135031003</t>
  </si>
  <si>
    <t>17135040000</t>
  </si>
  <si>
    <t>17135041001</t>
  </si>
  <si>
    <t>17135050000</t>
  </si>
  <si>
    <t>17135051002</t>
  </si>
  <si>
    <t>17140000000</t>
  </si>
  <si>
    <t>17145000000</t>
  </si>
  <si>
    <t>17145001001</t>
  </si>
  <si>
    <t>17145200000</t>
  </si>
  <si>
    <t>17145201001</t>
  </si>
  <si>
    <t>17145201002</t>
  </si>
  <si>
    <t>17145201003</t>
  </si>
  <si>
    <t>17145201004</t>
  </si>
  <si>
    <t>17145201005</t>
  </si>
  <si>
    <t>17145201006</t>
  </si>
  <si>
    <t>17145201007</t>
  </si>
  <si>
    <t>17145300000</t>
  </si>
  <si>
    <t>17145301001</t>
  </si>
  <si>
    <t>17150000000</t>
  </si>
  <si>
    <t>17155000000</t>
  </si>
  <si>
    <t>17155030000</t>
  </si>
  <si>
    <t>17155301000</t>
  </si>
  <si>
    <t>17160000000</t>
  </si>
  <si>
    <t>17165000000</t>
  </si>
  <si>
    <t>17165001006</t>
  </si>
  <si>
    <t>17165001009</t>
  </si>
  <si>
    <t>17165001010</t>
  </si>
  <si>
    <t>17170000000</t>
  </si>
  <si>
    <t>17179900000</t>
  </si>
  <si>
    <t>17179901009</t>
  </si>
  <si>
    <t>17190000000</t>
  </si>
  <si>
    <t>17195800000</t>
  </si>
  <si>
    <t>17195801001</t>
  </si>
  <si>
    <t>17200000000</t>
  </si>
  <si>
    <t>17210000000</t>
  </si>
  <si>
    <t>17215000000</t>
  </si>
  <si>
    <t>17215001001</t>
  </si>
  <si>
    <t>17215100000</t>
  </si>
  <si>
    <t>17215101001</t>
  </si>
  <si>
    <t>17215200000</t>
  </si>
  <si>
    <t>17215201001</t>
  </si>
  <si>
    <t>17215300000</t>
  </si>
  <si>
    <t>17215301001</t>
  </si>
  <si>
    <t>17240000000</t>
  </si>
  <si>
    <t>17245000000</t>
  </si>
  <si>
    <t>17245001001</t>
  </si>
  <si>
    <t>17245001004</t>
  </si>
  <si>
    <t>17245001005</t>
  </si>
  <si>
    <t>17245001006</t>
  </si>
  <si>
    <t>17245100000</t>
  </si>
  <si>
    <t>17245101002</t>
  </si>
  <si>
    <t>17249900000</t>
  </si>
  <si>
    <t>17249901003</t>
  </si>
  <si>
    <t>17290000000</t>
  </si>
  <si>
    <t>17295100000</t>
  </si>
  <si>
    <t>17295101001</t>
  </si>
  <si>
    <t>17295101005</t>
  </si>
  <si>
    <t>17295101007</t>
  </si>
  <si>
    <t>17300000000</t>
  </si>
  <si>
    <t>17320000000</t>
  </si>
  <si>
    <t>17329901001</t>
  </si>
  <si>
    <t>17500000000</t>
  </si>
  <si>
    <t>17510000000</t>
  </si>
  <si>
    <t>17515000000</t>
  </si>
  <si>
    <t>17515001001</t>
  </si>
  <si>
    <t>17515001002</t>
  </si>
  <si>
    <t>17515001004</t>
  </si>
  <si>
    <t>17515001005</t>
  </si>
  <si>
    <t>17515001006</t>
  </si>
  <si>
    <t>17515001007</t>
  </si>
  <si>
    <t>17515001008</t>
  </si>
  <si>
    <t>19000000000</t>
  </si>
  <si>
    <t>19100000000</t>
  </si>
  <si>
    <t>19110000000</t>
  </si>
  <si>
    <t>19110100000</t>
  </si>
  <si>
    <t>19110101000</t>
  </si>
  <si>
    <t>19110101004</t>
  </si>
  <si>
    <t>19110101006</t>
  </si>
  <si>
    <t>19110101008</t>
  </si>
  <si>
    <t>19110101009</t>
  </si>
  <si>
    <t>19110101011</t>
  </si>
  <si>
    <t>19110102000</t>
  </si>
  <si>
    <t>19110102001</t>
  </si>
  <si>
    <t>19110103000</t>
  </si>
  <si>
    <t>19110103003</t>
  </si>
  <si>
    <t>19110103004</t>
  </si>
  <si>
    <t>19110104000</t>
  </si>
  <si>
    <t>19110104001</t>
  </si>
  <si>
    <t>19110900000</t>
  </si>
  <si>
    <t>19110901000</t>
  </si>
  <si>
    <t>19110903000</t>
  </si>
  <si>
    <t>19111400000</t>
  </si>
  <si>
    <t>19111401001</t>
  </si>
  <si>
    <t>19111401003</t>
  </si>
  <si>
    <t>19111404001</t>
  </si>
  <si>
    <t>19111404002</t>
  </si>
  <si>
    <t>19200000000</t>
  </si>
  <si>
    <t>19210000000</t>
  </si>
  <si>
    <t>19219900000</t>
  </si>
  <si>
    <t>19219901001</t>
  </si>
  <si>
    <t>19220000000</t>
  </si>
  <si>
    <t>19220600000</t>
  </si>
  <si>
    <t>19220630000</t>
  </si>
  <si>
    <t>19220631001</t>
  </si>
  <si>
    <t>19900000000</t>
  </si>
  <si>
    <t>19990000000</t>
  </si>
  <si>
    <t>19999900000</t>
  </si>
  <si>
    <t>19999920000</t>
  </si>
  <si>
    <t>19999921001</t>
  </si>
  <si>
    <t>19999921002</t>
  </si>
  <si>
    <t>19999921003</t>
  </si>
  <si>
    <t>19999921004</t>
  </si>
  <si>
    <t>19999921005</t>
  </si>
  <si>
    <t>19999921006</t>
  </si>
  <si>
    <t>19999921007</t>
  </si>
  <si>
    <t>19999921008</t>
  </si>
  <si>
    <t>19999921009</t>
  </si>
  <si>
    <t>19999921010</t>
  </si>
  <si>
    <t>19999921011</t>
  </si>
  <si>
    <t>19999921012</t>
  </si>
  <si>
    <t>19999921013</t>
  </si>
  <si>
    <t>19999921014</t>
  </si>
  <si>
    <t>19999921017</t>
  </si>
  <si>
    <t>19999921018</t>
  </si>
  <si>
    <t>19999921019</t>
  </si>
  <si>
    <t>19999921020</t>
  </si>
  <si>
    <t>19999921021</t>
  </si>
  <si>
    <t>19999921023</t>
  </si>
  <si>
    <t>19999921032</t>
  </si>
  <si>
    <t>19999921036</t>
  </si>
  <si>
    <t>19999923001</t>
  </si>
  <si>
    <t>19999924001</t>
  </si>
  <si>
    <t>20000000000</t>
  </si>
  <si>
    <t>21000000000</t>
  </si>
  <si>
    <t>21100000000</t>
  </si>
  <si>
    <t>21190000000</t>
  </si>
  <si>
    <t>21199900000</t>
  </si>
  <si>
    <t>21199901001</t>
  </si>
  <si>
    <t>21199901002</t>
  </si>
  <si>
    <t>22000000000</t>
  </si>
  <si>
    <t>22100000000</t>
  </si>
  <si>
    <t>22110000000</t>
  </si>
  <si>
    <t>22110100000</t>
  </si>
  <si>
    <t>22110101001</t>
  </si>
  <si>
    <t>24000000000</t>
  </si>
  <si>
    <t>24100000000</t>
  </si>
  <si>
    <t>24110000000</t>
  </si>
  <si>
    <t>24115100000</t>
  </si>
  <si>
    <t>24115120000</t>
  </si>
  <si>
    <t>24115121002</t>
  </si>
  <si>
    <t>24200000000</t>
  </si>
  <si>
    <t>24220000000</t>
  </si>
  <si>
    <t>24229900000</t>
  </si>
  <si>
    <t>24229901019</t>
  </si>
  <si>
    <t>24229901022</t>
  </si>
  <si>
    <t>24229901023</t>
  </si>
  <si>
    <t>24229901024</t>
  </si>
  <si>
    <t>24229901026</t>
  </si>
  <si>
    <t>24229901027</t>
  </si>
  <si>
    <t>24400000000</t>
  </si>
  <si>
    <t>24410000000</t>
  </si>
  <si>
    <t>24419900000</t>
  </si>
  <si>
    <t>24419901003</t>
  </si>
  <si>
    <t>24419901006</t>
  </si>
  <si>
    <t>24419901007</t>
  </si>
  <si>
    <t>900000000000</t>
  </si>
  <si>
    <t>910000000000</t>
  </si>
  <si>
    <t>917000000000</t>
  </si>
  <si>
    <t>917100000000</t>
  </si>
  <si>
    <t>917115111001</t>
  </si>
  <si>
    <t>917115201001</t>
  </si>
  <si>
    <t>917200000000</t>
  </si>
  <si>
    <t>917210000000</t>
  </si>
  <si>
    <t>917215001001</t>
  </si>
  <si>
    <t>917215101001</t>
  </si>
  <si>
    <t>917215201001</t>
  </si>
  <si>
    <t>Rótulos de Linha</t>
  </si>
  <si>
    <t>Total Geral</t>
  </si>
  <si>
    <t>Soma de Receita Mês (R$)</t>
  </si>
  <si>
    <t>Soma de Receita Ano (R$)</t>
  </si>
  <si>
    <t>Soma de Receita Orçada (R$)</t>
  </si>
  <si>
    <t>(Vários itens)</t>
  </si>
  <si>
    <t>Soma final</t>
  </si>
  <si>
    <t>Soma Apresentada no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</si>
</sst>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1"/>
      <color rgb="FF3F3F76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49" fontId="0" fillId="0" borderId="0" xfId="0" applyNumberFormat="1"/>
    <xf numFmtId="0" fontId="0" fillId="0" borderId="0" xfId="0" pivotButton="1"/>
    <xf numFmtId="0" fontId="6" fillId="2" borderId="0" xfId="0" applyFont="1" applyFill="1"/>
    <xf numFmtId="0" fontId="18" fillId="2" borderId="10" xfId="0" applyFont="1" applyFill="1" applyBorder="1"/>
    <xf numFmtId="0" fontId="8" fillId="4" borderId="0" xfId="0" applyFont="1" applyFill="1"/>
    <xf numFmtId="0" fontId="19" fillId="4" borderId="10" xfId="0" applyFont="1" applyFill="1" applyBorder="1"/>
    <xf numFmtId="0" fontId="9" fillId="5" borderId="4" xfId="0" applyFont="1" applyFill="1" applyBorder="1"/>
    <xf numFmtId="0" fontId="20" fillId="5" borderId="12" xfId="0" applyFont="1" applyFill="1" applyBorder="1"/>
    <xf numFmtId="0" fontId="0" fillId="0" borderId="11" xfId="0" applyBorder="1" applyAlignment="1">
      <alignment horizontal="left"/>
    </xf>
    <xf numFmtId="164" fontId="0" fillId="0" borderId="11" xfId="0" applyNumberFormat="1" applyBorder="1"/>
    <xf numFmtId="164" fontId="0" fillId="0" borderId="0" xfId="0" applyNumberFormat="1"/>
    <xf numFmtId="164" fontId="6" fillId="2" borderId="11" xfId="0" applyNumberFormat="1" applyFont="1" applyFill="1" applyBorder="1"/>
    <xf numFmtId="164" fontId="8" fillId="4" borderId="11" xfId="0" applyNumberFormat="1" applyFont="1" applyFill="1" applyBorder="1"/>
    <xf numFmtId="164" fontId="9" fillId="5" borderId="4" xfId="0" applyNumberFormat="1" applyFont="1" applyFill="1" applyBorder="1"/>
    <xf numFmtId="8" fontId="0" fillId="0" borderId="0" xfId="0" applyNumberFormat="1"/>
    <xf numFmtId="0" fontId="11" fillId="6" borderId="4" xfId="11"/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7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numFmt numFmtId="164" formatCode="&quot;R$&quot;\ #,##0.00"/>
    </dxf>
    <dxf>
      <numFmt numFmtId="164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numFmt numFmtId="164" formatCode="&quot;R$&quot;\ #,##0.00"/>
    </dxf>
    <dxf>
      <numFmt numFmtId="164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Calibri"/>
        <family val="2"/>
        <scheme val="minor"/>
      </font>
      <fill>
        <patternFill patternType="solid">
          <fgColor indexed="65"/>
          <bgColor rgb="FFFFCC99"/>
        </patternFill>
      </fill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Calibri"/>
        <family val="2"/>
        <scheme val="minor"/>
      </font>
      <fill>
        <patternFill patternType="solid">
          <fgColor indexed="65"/>
          <bgColor rgb="FFFFCC99"/>
        </patternFill>
      </fill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numFmt numFmtId="164" formatCode="&quot;R$&quot;\ #,##0.00"/>
    </dxf>
    <dxf>
      <numFmt numFmtId="164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numFmt numFmtId="164" formatCode="&quot;R$&quot;\ #,##0.00"/>
    </dxf>
    <dxf>
      <numFmt numFmtId="164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numFmt numFmtId="164" formatCode="&quot;R$&quot;\ #,##0.00"/>
    </dxf>
    <dxf>
      <numFmt numFmtId="164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numFmt numFmtId="164" formatCode="&quot;R$&quot;\ #,##0.00"/>
    </dxf>
    <dxf>
      <numFmt numFmtId="164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numFmt numFmtId="164" formatCode="&quot;R$&quot;\ #,##0.00"/>
    </dxf>
    <dxf>
      <numFmt numFmtId="164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numFmt numFmtId="164" formatCode="&quot;R$&quot;\ #,##0.00"/>
    </dxf>
    <dxf>
      <numFmt numFmtId="164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Calibri"/>
        <family val="2"/>
        <scheme val="minor"/>
      </font>
      <fill>
        <patternFill patternType="solid">
          <fgColor indexed="65"/>
          <bgColor rgb="FFFFCC99"/>
        </patternFill>
      </fill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Calibri"/>
        <family val="2"/>
        <scheme val="minor"/>
      </font>
      <fill>
        <patternFill patternType="solid">
          <fgColor indexed="65"/>
          <bgColor rgb="FFFFCC99"/>
        </patternFill>
      </fill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numFmt numFmtId="164" formatCode="&quot;R$&quot;\ #,##0.00"/>
    </dxf>
    <dxf>
      <numFmt numFmtId="164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[Tabela.de.dados.Gerais.da.receita.e.despensa.de.sjc.marco.xlsx]Resumo!Tabela dinâmica1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Resumo!$B$3</c:f>
              <c:strCache>
                <c:ptCount val="1"/>
                <c:pt idx="0">
                  <c:v>Soma de Receita Mês (R$)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Resumo!$A$4:$A$9</c:f>
              <c:strCache>
                <c:ptCount val="5"/>
                <c:pt idx="0">
                  <c:v>CONTRIBUIÇÕES</c:v>
                </c:pt>
                <c:pt idx="1">
                  <c:v>IMPOSTOS, TAXAS E CONTRIBUIÇÕES DE MELHORIA</c:v>
                </c:pt>
                <c:pt idx="2">
                  <c:v>OUTRAS RECEITAS CORRENTES</c:v>
                </c:pt>
                <c:pt idx="3">
                  <c:v>RECEITA PATRIMONIAL</c:v>
                </c:pt>
                <c:pt idx="4">
                  <c:v>TRANSFERÊNCIAS CORRENTES</c:v>
                </c:pt>
              </c:strCache>
            </c:strRef>
          </c:cat>
          <c:val>
            <c:numRef>
              <c:f>Resumo!$B$4:$B$9</c:f>
              <c:numCache>
                <c:formatCode>"R$"\ #,##0.00</c:formatCode>
                <c:ptCount val="5"/>
                <c:pt idx="0">
                  <c:v>140596.31</c:v>
                </c:pt>
                <c:pt idx="1">
                  <c:v>12330121.74</c:v>
                </c:pt>
                <c:pt idx="2">
                  <c:v>2882706.89</c:v>
                </c:pt>
                <c:pt idx="3">
                  <c:v>115727.34</c:v>
                </c:pt>
                <c:pt idx="4">
                  <c:v>95336470.739999995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61-4051-850B-4D29D73795ED}"/>
            </c:ext>
          </c:extLst>
        </c:ser>
        <c:ser>
          <c:idx val="1"/>
          <c:order val="1"/>
          <c:tx>
            <c:strRef>
              <c:f>Resumo!$C$3</c:f>
              <c:strCache>
                <c:ptCount val="1"/>
                <c:pt idx="0">
                  <c:v>Soma de Receita Ano (R$)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Resumo!$A$4:$A$9</c:f>
              <c:strCache>
                <c:ptCount val="5"/>
                <c:pt idx="0">
                  <c:v>CONTRIBUIÇÕES</c:v>
                </c:pt>
                <c:pt idx="1">
                  <c:v>IMPOSTOS, TAXAS E CONTRIBUIÇÕES DE MELHORIA</c:v>
                </c:pt>
                <c:pt idx="2">
                  <c:v>OUTRAS RECEITAS CORRENTES</c:v>
                </c:pt>
                <c:pt idx="3">
                  <c:v>RECEITA PATRIMONIAL</c:v>
                </c:pt>
                <c:pt idx="4">
                  <c:v>TRANSFERÊNCIAS CORRENTES</c:v>
                </c:pt>
              </c:strCache>
            </c:strRef>
          </c:cat>
          <c:val>
            <c:numRef>
              <c:f>Resumo!$C$4:$C$9</c:f>
              <c:numCache>
                <c:formatCode>"R$"\ #,##0.00</c:formatCode>
                <c:ptCount val="5"/>
                <c:pt idx="0">
                  <c:v>6959141</c:v>
                </c:pt>
                <c:pt idx="1">
                  <c:v>430747358.54000002</c:v>
                </c:pt>
                <c:pt idx="2">
                  <c:v>42296272.100000001</c:v>
                </c:pt>
                <c:pt idx="3">
                  <c:v>4806903.79</c:v>
                </c:pt>
                <c:pt idx="4">
                  <c:v>608813729.71000004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061-4051-850B-4D29D73795ED}"/>
            </c:ext>
          </c:extLst>
        </c:ser>
        <c:ser>
          <c:idx val="2"/>
          <c:order val="2"/>
          <c:tx>
            <c:strRef>
              <c:f>Resumo!$D$3</c:f>
              <c:strCache>
                <c:ptCount val="1"/>
                <c:pt idx="0">
                  <c:v>Soma de Receita Orçada (R$)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Resumo!$A$4:$A$9</c:f>
              <c:strCache>
                <c:ptCount val="5"/>
                <c:pt idx="0">
                  <c:v>CONTRIBUIÇÕES</c:v>
                </c:pt>
                <c:pt idx="1">
                  <c:v>IMPOSTOS, TAXAS E CONTRIBUIÇÕES DE MELHORIA</c:v>
                </c:pt>
                <c:pt idx="2">
                  <c:v>OUTRAS RECEITAS CORRENTES</c:v>
                </c:pt>
                <c:pt idx="3">
                  <c:v>RECEITA PATRIMONIAL</c:v>
                </c:pt>
                <c:pt idx="4">
                  <c:v>TRANSFERÊNCIAS CORRENTES</c:v>
                </c:pt>
              </c:strCache>
            </c:strRef>
          </c:cat>
          <c:val>
            <c:numRef>
              <c:f>Resumo!$D$4:$D$9</c:f>
              <c:numCache>
                <c:formatCode>"R$"\ #,##0.00</c:formatCode>
                <c:ptCount val="5"/>
                <c:pt idx="0">
                  <c:v>37489000</c:v>
                </c:pt>
                <c:pt idx="1">
                  <c:v>1624916000</c:v>
                </c:pt>
                <c:pt idx="2">
                  <c:v>117982000</c:v>
                </c:pt>
                <c:pt idx="3">
                  <c:v>32327000</c:v>
                </c:pt>
                <c:pt idx="4">
                  <c:v>2960867000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061-4051-850B-4D29D73795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4303808"/>
        <c:axId val="2099139632"/>
      </c:barChart>
      <c:catAx>
        <c:axId val="74430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99139632"/>
        <c:crosses val="autoZero"/>
        <c:auto val="1"/>
        <c:lblAlgn val="ctr"/>
        <c:lblOffset val="100"/>
        <c:noMultiLvlLbl val="0"/>
      </c:catAx>
      <c:valAx>
        <c:axId val="2099139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430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[Tabela.de.dados.Gerais.da.receita.e.despensa.de.sjc.marco.xlsx]Aprimoramento!Tabela dinâmica1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Soma</a:t>
            </a:r>
            <a:r>
              <a:rPr lang="en-US" baseline="0"/>
              <a:t> de Receita Mês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6">
              <a:lumMod val="20000"/>
              <a:lumOff val="8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Aprimoramento!$B$3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1FF-4246-AF61-1FA6D916732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1FF-4246-AF61-1FA6D916732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Aprimoramento!$A$4:$A$9</c:f>
              <c:strCache>
                <c:ptCount val="5"/>
                <c:pt idx="0">
                  <c:v>TRANSFERÊNCIAS CORRENTES</c:v>
                </c:pt>
                <c:pt idx="1">
                  <c:v>IMPOSTOS, TAXAS E CONTRIBUIÇÕES DE MELHORIA</c:v>
                </c:pt>
                <c:pt idx="2">
                  <c:v>OUTRAS RECEITAS CORRENTES</c:v>
                </c:pt>
                <c:pt idx="3">
                  <c:v>CONTRIBUIÇÕES</c:v>
                </c:pt>
                <c:pt idx="4">
                  <c:v>RECEITA PATRIMONIAL</c:v>
                </c:pt>
              </c:strCache>
            </c:strRef>
          </c:cat>
          <c:val>
            <c:numRef>
              <c:f>Aprimoramento!$B$4:$B$9</c:f>
              <c:numCache>
                <c:formatCode>"R$"\ #,##0.00</c:formatCode>
                <c:ptCount val="5"/>
                <c:pt idx="0">
                  <c:v>95336470.739999995</c:v>
                </c:pt>
                <c:pt idx="1">
                  <c:v>12330121.74</c:v>
                </c:pt>
                <c:pt idx="2">
                  <c:v>2882706.89</c:v>
                </c:pt>
                <c:pt idx="3">
                  <c:v>140596.31</c:v>
                </c:pt>
                <c:pt idx="4">
                  <c:v>115727.34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FF-4246-AF61-1FA6D916732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44303808"/>
        <c:axId val="2099139632"/>
      </c:barChart>
      <c:catAx>
        <c:axId val="74430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99139632"/>
        <c:crosses val="autoZero"/>
        <c:auto val="1"/>
        <c:lblAlgn val="ctr"/>
        <c:lblOffset val="100"/>
        <c:noMultiLvlLbl val="0"/>
      </c:catAx>
      <c:valAx>
        <c:axId val="2099139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4303808"/>
        <c:crosses val="autoZero"/>
        <c:crossBetween val="between"/>
      </c:valAx>
      <c:spPr>
        <a:noFill/>
        <a:ln cmpd="sng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10</xdr:row>
      <xdr:rowOff>4762</xdr:rowOff>
    </xdr:from>
    <xdr:to>
      <xdr:col>3</xdr:col>
      <xdr:colOff>219075</xdr:colOff>
      <xdr:row>30</xdr:row>
      <xdr:rowOff>133350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AF41FFF-19BA-4B05-8AF1-7F60768C9C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10</xdr:row>
      <xdr:rowOff>4762</xdr:rowOff>
    </xdr:from>
    <xdr:to>
      <xdr:col>3</xdr:col>
      <xdr:colOff>733425</xdr:colOff>
      <xdr:row>29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24A4D46-E3BD-4407-BA1B-5A59AAB7EC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tec" refreshedDate="46093.884467245371" createdVersion="6" refreshedVersion="6" minRefreshableVersion="3" recordCount="424" xr:uid="{00000000-000A-0000-FFFF-FFFF11000000}">
  <cacheSource type="worksheet">
    <worksheetSource ref="A1:I1048576" sheet="BD- BC -Marco"/>
  </cacheSource>
  <cacheFields count="9">
    <cacheField name="Ano" numFmtId="0">
      <sharedItems containsString="0" containsBlank="1" containsNumber="1" containsInteger="1" minValue="2026" maxValue="2026"/>
    </cacheField>
    <cacheField name="Mês" numFmtId="0">
      <sharedItems containsString="0" containsBlank="1" containsNumber="1" containsInteger="1" minValue="3" maxValue="3"/>
    </cacheField>
    <cacheField name="Classificação" numFmtId="0">
      <sharedItems containsBlank="1" count="424">
        <s v="10000000000"/>
        <s v="11000000000"/>
        <s v="11100000000"/>
        <s v="11120000000"/>
        <s v="11125000000"/>
        <s v="11125001001"/>
        <s v="11125001002"/>
        <s v="11125002001"/>
        <s v="11125003001"/>
        <s v="11125004001"/>
        <s v="11125300000"/>
        <s v="11125301001"/>
        <s v="11125302001"/>
        <s v="11130000000"/>
        <s v="11130300000"/>
        <s v="11130310000"/>
        <s v="11130311001"/>
        <s v="11130311002"/>
        <s v="11130340000"/>
        <s v="11130341001"/>
        <s v="11140000000"/>
        <s v="11145100000"/>
        <s v="11145110000"/>
        <s v="11145111001"/>
        <s v="11145111002"/>
        <s v="11145111003"/>
        <s v="11145111004"/>
        <s v="11145112001"/>
        <s v="11145113001"/>
        <s v="11145114001"/>
        <s v="11200000000"/>
        <s v="11210000000"/>
        <s v="11210100000"/>
        <s v="11210101001"/>
        <s v="11210101002"/>
        <s v="11210101003"/>
        <s v="11210101004"/>
        <s v="11210101005"/>
        <s v="11210101006"/>
        <s v="11210101007"/>
        <s v="11210101008"/>
        <s v="11210102001"/>
        <s v="11215000000"/>
        <s v="11215001001"/>
        <s v="11220000000"/>
        <s v="11220100000"/>
        <s v="11220101001"/>
        <s v="11220101002"/>
        <s v="11220101003"/>
        <s v="11220101004"/>
        <s v="11300000000"/>
        <s v="11310000000"/>
        <s v="11315300000"/>
        <s v="11315301001"/>
        <s v="11315302001"/>
        <s v="12000000000"/>
        <s v="12400000000"/>
        <s v="12410000000"/>
        <s v="12415000000"/>
        <s v="12415001001"/>
        <s v="12415001002"/>
        <s v="13000000000"/>
        <s v="13100000000"/>
        <s v="13110000000"/>
        <s v="13110100000"/>
        <s v="13110110000"/>
        <s v="13110111001"/>
        <s v="13110120000"/>
        <s v="13110121001"/>
        <s v="13110200000"/>
        <s v="13110211001"/>
        <s v="13110211002"/>
        <s v="13110211003"/>
        <s v="13110211004"/>
        <s v="13200000000"/>
        <s v="13210000000"/>
        <s v="13210100000"/>
        <s v="13210101001"/>
        <s v="13210101002"/>
        <s v="13210101006"/>
        <s v="13210101007"/>
        <s v="13210101008"/>
        <s v="13210101009"/>
        <s v="13210101010"/>
        <s v="13210101012"/>
        <s v="13210101013"/>
        <s v="13210101014"/>
        <s v="13210101016"/>
        <s v="13210101017"/>
        <s v="13210101018"/>
        <s v="13210101040"/>
        <s v="13210101041"/>
        <s v="13210101042"/>
        <s v="13210101045"/>
        <s v="13210101048"/>
        <s v="13210101049"/>
        <s v="13210101050"/>
        <s v="13210101051"/>
        <s v="13210101053"/>
        <s v="13210101055"/>
        <s v="13210101056"/>
        <s v="13210101057"/>
        <s v="13210101058"/>
        <s v="13210101059"/>
        <s v="13210101060"/>
        <s v="13210101061"/>
        <s v="13210101067"/>
        <s v="13210101070"/>
        <s v="13210101071"/>
        <s v="13210101072"/>
        <s v="13210101073"/>
        <s v="13210101074"/>
        <s v="13210101076"/>
        <s v="13210101083"/>
        <s v="13210101085"/>
        <s v="13210101086"/>
        <s v="13210101087"/>
        <s v="13210101089"/>
        <s v="13210101096"/>
        <s v="13210101098"/>
        <s v="13210101101"/>
        <s v="13210101107"/>
        <s v="13210101108"/>
        <s v="13210101109"/>
        <s v="13210101113"/>
        <s v="13210101114"/>
        <s v="13210101115"/>
        <s v="13210101132"/>
        <s v="13210101133"/>
        <s v="13210101137"/>
        <s v="13210101140"/>
        <s v="13210101141"/>
        <s v="13210101142"/>
        <s v="13210101147"/>
        <s v="13210101149"/>
        <s v="13210101150"/>
        <s v="13210101151"/>
        <s v="13210101153"/>
        <s v="13210101156"/>
        <s v="13210101157"/>
        <s v="13210101160"/>
        <s v="13210101161"/>
        <s v="13210101162"/>
        <s v="13210101164"/>
        <s v="13210101165"/>
        <s v="13210101169"/>
        <s v="13210101170"/>
        <s v="13210101171"/>
        <s v="13210101173"/>
        <s v="13210101175"/>
        <s v="13210101178"/>
        <s v="13210101179"/>
        <s v="13210101181"/>
        <s v="13210101183"/>
        <s v="13210101185"/>
        <s v="13210101186"/>
        <s v="13210101187"/>
        <s v="13210101188"/>
        <s v="13210101191"/>
        <s v="13210101199"/>
        <s v="13210101200"/>
        <s v="13210101202"/>
        <s v="13210101204"/>
        <s v="13210101205"/>
        <s v="13210101207"/>
        <s v="13210101208"/>
        <s v="13210101209"/>
        <s v="13210101210"/>
        <s v="13210101211"/>
        <s v="13210101212"/>
        <s v="13210101213"/>
        <s v="13210101214"/>
        <s v="13210101215"/>
        <s v="13210101216"/>
        <s v="13210101217"/>
        <s v="13210101219"/>
        <s v="13210101220"/>
        <s v="13210101222"/>
        <s v="13210101223"/>
        <s v="13210101224"/>
        <s v="13210101225"/>
        <s v="13210101226"/>
        <s v="13210101228"/>
        <s v="13210101229"/>
        <s v="13210101231"/>
        <s v="13210101232"/>
        <s v="13210101233"/>
        <s v="13210101234"/>
        <s v="13210101239"/>
        <s v="13210101240"/>
        <s v="13210101241"/>
        <s v="13210101242"/>
        <s v="13210101243"/>
        <s v="13210101244"/>
        <s v="13210101245"/>
        <s v="13210101246"/>
        <s v="13210101247"/>
        <s v="13210101248"/>
        <s v="13210101249"/>
        <s v="13210101250"/>
        <s v="13210101251"/>
        <s v="13210101252"/>
        <s v="13210101253"/>
        <s v="13210101254"/>
        <s v="13210101255"/>
        <s v="13210101256"/>
        <s v="13210101257"/>
        <s v="13210101258"/>
        <s v="13210101259"/>
        <s v="13210101260"/>
        <s v="13220000000"/>
        <s v="13220100000"/>
        <s v="13220101001"/>
        <s v="17000000000"/>
        <s v="17100000000"/>
        <s v="17110000000"/>
        <s v="17115100000"/>
        <s v="17115110000"/>
        <s v="17115111001"/>
        <s v="17115120000"/>
        <s v="17115121001"/>
        <s v="17115121002"/>
        <s v="17115121003"/>
        <s v="17115200000"/>
        <s v="17115201001"/>
        <s v="17120000000"/>
        <s v="17125000000"/>
        <s v="17125001001"/>
        <s v="17125100000"/>
        <s v="17125101001"/>
        <s v="17125200000"/>
        <s v="17125210000"/>
        <s v="17125211001"/>
        <s v="17125220000"/>
        <s v="17125221001"/>
        <s v="17125240000"/>
        <s v="17125241001"/>
        <s v="17130000000"/>
        <s v="17135000000"/>
        <s v="17135010000"/>
        <s v="17135011001"/>
        <s v="17135011004"/>
        <s v="17135020000"/>
        <s v="17135021001"/>
        <s v="17135030000"/>
        <s v="17135031001"/>
        <s v="17135031002"/>
        <s v="17135031003"/>
        <s v="17135040000"/>
        <s v="17135041001"/>
        <s v="17135050000"/>
        <s v="17135051002"/>
        <s v="17140000000"/>
        <s v="17145000000"/>
        <s v="17145001001"/>
        <s v="17145200000"/>
        <s v="17145201001"/>
        <s v="17145201002"/>
        <s v="17145201003"/>
        <s v="17145201004"/>
        <s v="17145201005"/>
        <s v="17145201006"/>
        <s v="17145201007"/>
        <s v="17145300000"/>
        <s v="17145301001"/>
        <s v="17150000000"/>
        <s v="17155000000"/>
        <s v="17155030000"/>
        <s v="17155301000"/>
        <s v="17160000000"/>
        <s v="17165000000"/>
        <s v="17165001006"/>
        <s v="17165001009"/>
        <s v="17165001010"/>
        <s v="17170000000"/>
        <s v="17179900000"/>
        <s v="17179901009"/>
        <s v="17190000000"/>
        <s v="17195800000"/>
        <s v="17195801001"/>
        <s v="17200000000"/>
        <s v="17210000000"/>
        <s v="17215000000"/>
        <s v="17215001001"/>
        <s v="17215100000"/>
        <s v="17215101001"/>
        <s v="17215200000"/>
        <s v="17215201001"/>
        <s v="17215300000"/>
        <s v="17215301001"/>
        <s v="17240000000"/>
        <s v="17245000000"/>
        <s v="17245001001"/>
        <s v="17245001004"/>
        <s v="17245001005"/>
        <s v="17245001006"/>
        <s v="17245100000"/>
        <s v="17245101002"/>
        <s v="17249900000"/>
        <s v="17249901003"/>
        <s v="17290000000"/>
        <s v="17295100000"/>
        <s v="17295101001"/>
        <s v="17295101005"/>
        <s v="17295101007"/>
        <s v="17300000000"/>
        <s v="17320000000"/>
        <s v="17329901001"/>
        <s v="17500000000"/>
        <s v="17510000000"/>
        <s v="17515000000"/>
        <s v="17515001001"/>
        <s v="17515001002"/>
        <s v="17515001004"/>
        <s v="17515001005"/>
        <s v="17515001006"/>
        <s v="17515001007"/>
        <s v="17515001008"/>
        <s v="19000000000"/>
        <s v="19100000000"/>
        <s v="19110000000"/>
        <s v="19110100000"/>
        <s v="19110101000"/>
        <s v="19110101004"/>
        <s v="19110101006"/>
        <s v="19110101008"/>
        <s v="19110101009"/>
        <s v="19110101011"/>
        <s v="19110102000"/>
        <s v="19110102001"/>
        <s v="19110103000"/>
        <s v="19110103003"/>
        <s v="19110103004"/>
        <s v="19110104000"/>
        <s v="19110104001"/>
        <s v="19110900000"/>
        <s v="19110901000"/>
        <s v="19110903000"/>
        <s v="19111400000"/>
        <s v="19111401001"/>
        <s v="19111401003"/>
        <s v="19111404001"/>
        <s v="19111404002"/>
        <s v="19200000000"/>
        <s v="19210000000"/>
        <s v="19219900000"/>
        <s v="19219901001"/>
        <s v="19220000000"/>
        <s v="19220600000"/>
        <s v="19220630000"/>
        <s v="19220631001"/>
        <s v="19900000000"/>
        <s v="19990000000"/>
        <s v="19999900000"/>
        <s v="19999920000"/>
        <s v="19999921001"/>
        <s v="19999921002"/>
        <s v="19999921003"/>
        <s v="19999921004"/>
        <s v="19999921005"/>
        <s v="19999921006"/>
        <s v="19999921007"/>
        <s v="19999921008"/>
        <s v="19999921009"/>
        <s v="19999921010"/>
        <s v="19999921011"/>
        <s v="19999921012"/>
        <s v="19999921013"/>
        <s v="19999921014"/>
        <s v="19999921017"/>
        <s v="19999921018"/>
        <s v="19999921019"/>
        <s v="19999921020"/>
        <s v="19999921021"/>
        <s v="19999921023"/>
        <s v="19999921032"/>
        <s v="19999921036"/>
        <s v="19999923001"/>
        <s v="19999924001"/>
        <s v="20000000000"/>
        <s v="21000000000"/>
        <s v="21100000000"/>
        <s v="21190000000"/>
        <s v="21199900000"/>
        <s v="21199901001"/>
        <s v="21199901002"/>
        <s v="22000000000"/>
        <s v="22100000000"/>
        <s v="22110000000"/>
        <s v="22110100000"/>
        <s v="22110101001"/>
        <s v="24000000000"/>
        <s v="24100000000"/>
        <s v="24110000000"/>
        <s v="24115100000"/>
        <s v="24115120000"/>
        <s v="24115121002"/>
        <s v="24200000000"/>
        <s v="24220000000"/>
        <s v="24229900000"/>
        <s v="24229901019"/>
        <s v="24229901022"/>
        <s v="24229901023"/>
        <s v="24229901024"/>
        <s v="24229901026"/>
        <s v="24229901027"/>
        <s v="24400000000"/>
        <s v="24410000000"/>
        <s v="24419900000"/>
        <s v="24419901003"/>
        <s v="24419901006"/>
        <s v="24419901007"/>
        <s v="900000000000"/>
        <s v="910000000000"/>
        <s v="917000000000"/>
        <s v="917100000000"/>
        <s v="917115111001"/>
        <s v="917115201001"/>
        <s v="917200000000"/>
        <s v="917210000000"/>
        <s v="917215001001"/>
        <s v="917215101001"/>
        <s v="917215201001"/>
        <m/>
      </sharedItems>
    </cacheField>
    <cacheField name="Fonte" numFmtId="0">
      <sharedItems containsString="0" containsBlank="1" containsNumber="1" containsInteger="1" minValue="1" maxValue="7"/>
    </cacheField>
    <cacheField name="Rubrica" numFmtId="0">
      <sharedItems containsString="0" containsBlank="1" containsNumber="1" containsInteger="1" minValue="19" maxValue="5028"/>
    </cacheField>
    <cacheField name="Receita" numFmtId="0">
      <sharedItems containsBlank="1" count="404">
        <s v="RECEITAS CORRENTES"/>
        <s v="IMPOSTOS, TAXAS E CONTRIBUIÇÕES DE MELHORIA"/>
        <s v="IMPOSTOS"/>
        <s v="IMPOSTOS SOBRE O PATRIMÔNIO"/>
        <s v="IMPOSTO SOBRE A PROPRIEDADE PREDIAL E TERRITORIAL URBANA"/>
        <s v="Imposto sobre a Propriedade Predial Urbana"/>
        <s v="Imposto sobre a Propriedade Territorial Urbana"/>
        <s v="Imposto sobre a Propriedade Predial e Territorial Urbana - Multas e Juros"/>
        <s v="Imposto sobre a Propriedade Predial e Territorial Urbana - Dívida Ativa"/>
        <s v="Imposto sobre a Propriedade Predial e Territorial Urbana - Dívida Ativa - Multas e Juros"/>
        <s v="IMPOSTOS SOBRE TRANSMISSÃO &quot;INTER VIVOS&quot; DE BENS IMÓVEIS E DE DIREITOS REAIS SOBRE IMÓVEIS"/>
        <s v="Imposto sobre Transmissão “Inter Vivos” de Bens Imóveis e de Direitos Reais sobre Imóveis - Principal"/>
        <s v="Imposto sobre Transmissão “Inter Vivos” de Bens Imóveis e de Direitos Reais sobre Imóveis - Multas e Juros"/>
        <s v="IMPOSTOS SOBRE A RENDA E PROVENTOS DE QUALQUER NATUREZA"/>
        <s v="IMPOSTO SOBRE A RENDA - RETIDO NA FONTE"/>
        <s v="IMPOSTO SOBRE A RENDA - RETIDO NA FONTE - TRABALHO"/>
        <s v="Imposto sobre a Renda - Retido na Fonte - Trabalho - Principal"/>
        <s v="Imposto sobre a Renda - Retido na Fonte - Trabalho - Aposentados e Pensionistas"/>
        <s v="IMPOSTO SOBRE A RENDA - RETIDO NA FONTE - OUTROS RENDIMENTOS"/>
        <s v="Imposto sobre a Renda - Retido na Fonte - Outros Rendimentos "/>
        <s v="IMPOSTOS SOBRE A PRODUÇÃO E CIRCULAÇÃO DE MERCADORIAS E SERVIÇOS"/>
        <s v="IMPOSTOS SOBRE SERVIÇOS"/>
        <s v="IMPOSTO SOBRE SERVIÇOS DE QUALQUER NATUREZA - ISSQN"/>
        <s v="Imposto sobre Serviços de Qualquer Natureza - Não Lançado"/>
        <s v="Imposto sobre Serviços de Qualquer Natureza - Lançado"/>
        <s v="Imposto sobre Serviços de Qualquer Natureza - Super Simples"/>
        <s v="Imposto sobre Serviços de Qualquer Natureza - STN Convênio"/>
        <s v="Imposto sobre Serviços de Qualquer Natureza - Multas e Juros"/>
        <s v="Imposto sobre Serviços de Qualquer Natureza - Dívida Ativa"/>
        <s v="Imposto sobre Serviços de Qualquer Natureza - Dívida Ativa - Multas e Juros"/>
        <s v="TAXAS"/>
        <s v="TAXAS PELO EXERCÍCIO DO PODER DE POLÍCIA"/>
        <s v="TAXAS DE INSPEÇÃO, CONTROLE E FISCALIZAÇÃO"/>
        <s v="Taxa de Licença para Localização"/>
        <s v="Taxa de Fiscalização e Funcionamento"/>
        <s v="Taxa de Licença para o Exercício do Comércio Ambulante"/>
        <s v="Taxa de Licença Exec. Obras Partic., Arruam., Loteam., e Desmembramento"/>
        <s v="Taxa  de Licença para Publicidade"/>
        <s v="Taxa de Licença p/ Ocup. do Solo e Logradouros Públicos"/>
        <s v="Taxa p/ Permissão de Uso do Solo/ Subsolo/ Aéreo"/>
        <s v="Taxa de Conformidade de Obras e Serviços"/>
        <s v="Taxas de Inspeção, Controle e Fiscalização - Multas e Juros"/>
        <s v="TAXA DE FISCALIZAÇÃO DE VIGILÂNCIA SANITÁRIA"/>
        <s v="Fundo Municipal de Saúde - Taxa de Fiscalização de Vigilância Sanitária"/>
        <s v="TAXAS PELA PRESTAÇÃO DE SERVIÇOS"/>
        <s v="Taxa de Coleta de Lixo"/>
        <s v="Taxa de Expediente"/>
        <s v="Taxa Apreensão, Dep. Bens, Alinh., Nivel. E Num. de Prédios"/>
        <s v="Fundo Municipal de Saúde - Taxa de Manutenção - Centro de Controle de Zoonoses - CCZ"/>
        <s v="CONTRIBUIÇÃO DE MELHORIA"/>
        <s v="CONTRIBUIÇÃO DE MELHORIA PARA PAVIMENTAÇÃO E OBRAS COMPLEMENTARES"/>
        <s v="Contribuição de Melhoria para Pavimentação e Obras Complementares - Principal"/>
        <s v="Contribuição de Melhoria para Pavimentação e Obras Complementares - Multas e Juros"/>
        <s v="CONTRIBUIÇÕES"/>
        <s v="CONTRIBUIÇÃO PARA O CUSTEIO DO SERVIÇO DE ILUMINAÇÃO PÚBLICA"/>
        <s v="Contribuição para o Custeio do Serviço de Iluminação Pública - Territorial"/>
        <s v="Contribuição para o Custeio do Serviço de Iluminação Pública - Predial"/>
        <s v="RECEITA PATRIMONIAL"/>
        <s v="EXPLORAÇÃO DO PATRIMÔNIO IMOBILIÁRIO DO ESTADO"/>
        <s v="ALUGUÉIS, ARRENDAMENTOS, FOROS, LAUDÊMIOS, TARIFAS DE OCUPAÇÃO"/>
        <s v="ALUGUÉIS E ARRENDAMENTOS"/>
        <s v="Aluguéis de Imóveis Próprios Públicos"/>
        <s v="FOROS, LAUDÊMIOS E TARIFAS DE OCUPAÇÃO"/>
        <s v="Foros, Laudêmios e Tarifas de Ocupação - Principal"/>
        <s v="CONCESSÃO, PERMISSÃO, AUTORIZAÇÃO OU CESSÃO DO DIREITO DE USO DE BENS IMÓVEIS PÚBLICOS"/>
        <s v="Receita com Utilização do Centro da Juventude Fuad Cury"/>
        <s v="Concessão Onerosa - Arena Esportiva Farma Conde"/>
        <s v="Receita com Utilização do Centro de Treinamento do Atleta Cidadão - CTAC"/>
        <s v="Concessão de Uso - Quiosques Banhado"/>
        <s v="VALORES MOBILIÁRIOS"/>
        <s v="JUROS E CORREÇÕES MONETÁRIAS"/>
        <s v="REMUNERAÇÃO DE DEPÓSITOS BANCÁRIOS"/>
        <s v="Juros Banc. Op. Financeiras - Fundeb"/>
        <s v="Juros Banc. Op. Financeiras - Fundo Municipal de Saúde - FMS"/>
        <s v="Juros Banc. Op. Financeiras - SUS - Estadual"/>
        <s v="Juros Banc. Op. Financeiras - Fundo Nacional de Saúde - FNS"/>
        <s v="Juros Banc. Op. Financeiras - Secretaria Municipal de Educação - SME"/>
        <s v="Juros Banc. Op. Financeiras - Salário Educação"/>
        <s v="Juros Banc. Op. Financeiras - Programa Nacional de Alimentação Escolar - PNAE/FNDE"/>
        <s v="Juros Banc. Op. Financeiras - Contribuição de Intervenção no Domínio Econômico - CIDE"/>
        <s v="Juros Banc. Op. Financeiras - Fundo Nacional de Assistência Social - FNAS"/>
        <s v="Juros Banc. Op. Financeiras - Contribuição para o Custeio do Serviço de Iluminação Pública"/>
        <s v="Juros Banc. Op. Financeiras - Multas de Trânsito"/>
        <s v="Juros Banc. Op. Financeiras - Zona Azul e Outros"/>
        <s v="Juros Banc. Op. Financeiras - Fundo de Apoio ao Desporto Joseense - FADEJ"/>
        <s v="Juros Banc. Op. Financeiras - Convênios Estaduais - Banco do Povo Paulista"/>
        <s v="Juros Banc. Op. Financeiras - Fundo Estadual de Assistência Social - FEAS - Proteção Social Básica"/>
        <s v="Juros Banc. Op. Financeiras - Royalties"/>
        <s v="Juros Banc. Op. Financeiras - Conv. Agevap - Assoc. Pró-Gestão das Águas da Bacia Hidrográfica do Rio Paraíba do Sul - Programa de Pagto Por Serv. Ambientais - PSA"/>
        <s v="Juros Banc. Op. Financeiras - Fundo Social de Solidariedade"/>
        <s v="Juros Banc. Op. Financeiras - Fundação de Proteção e Defesa do Consumidor - Procon"/>
        <s v="Juros Banc. Op. Financeiras - Fundo Municipal de Conservação Ambiental - Fumcam"/>
        <s v="Juros Banc. Op. Financeiras - Fundo Municipal de Serviços Ecossistêmicos - FMSE"/>
        <s v="Juros Banc. Op. Financeiras - Fundo Municipal de Habitação - FMH"/>
        <s v="Juros Banc. Op. Financeiras - Brasil Carinhoso - Manutenção de Novas Turmas"/>
        <s v="Juros Banc. Op. Financeiras - Programa Nacional de Apoio ao Transporte Escolar - PNATE"/>
        <s v="Juros Banc. Op. Financeiras - Programa Dinheiro Direto na Escola - PDDE"/>
        <s v="Juros Banc. Op. Financeiras - Fundo Social de Solidariedade do Estado de São Paulo - Fussesp - Aluguel Social"/>
        <s v="Juros Banc. Op. Financeiras - Fundo Municipal de Turismo - Fumtur"/>
        <s v="Juros Banc. Op. Financeiras - Fundo Nacional de Desenvolvimento da Educação - FNDE - Manutenção Educação Infantil - Novos Estabelecimentos"/>
        <s v="Juros Banc. Op. Financeiras - Fundo Municipal de Transporte - Serviço de Transporte Privado"/>
        <s v="Juros Banc. Op. Financeiras - Fundo Municipal do Idoso - Fumid"/>
        <s v="Juros Banc. Op. Financeiras - Recursos Próprios"/>
        <s v="Juros Banc. Op. Financeiras - Fundo Municipal de Conservação Ambiental - FUMCAM - Saneamento Básico - Contrato Sabesp"/>
        <s v="Juros Banc. Op. Financeiras - Depósitos Judiciais"/>
        <s v="Juros Banc. Op. Financeiras - ABIM"/>
        <s v="Juros Banc. Op. Financeiras - SUS Custeio de Ação e Serviços Públicos de Saúde"/>
        <s v="Juros Banc. Op. Financeiras - Fundo Municipal de Transporte - Serviço de Compartilhamento de Bicicletas e Patinetes"/>
        <s v="Juros Banc. Op. Financeiras - Multas por Auto de Infração - Procon"/>
        <s v="Juros Banc. Op. Financeiras - Convênio de Instituições Privadas de Ensino na Área de Saúde - Contrapartida"/>
        <s v="Juros Banc. Op. Financeiras - Fundo Municipal de Desenvolvimento Urbano - FMDU"/>
        <s v="Juros Banc. Op. Financeiras - Termo de Compromisso MRV - Estrada Municipal do Bom Retiro"/>
        <s v="Juros Banc. Op. Financeiras - Doação Causa Animal - IPTU"/>
        <s v="Juros Banc. Op. Financeiras - Atividade Complementar Guarda Civil Municipal"/>
        <s v="Juros Banc. Op. Financeiras - Compensação Financeira Recursos Minerais - CFEM"/>
        <s v="Juros Banc. Op. Financeiras - Cessão Onerosa do Bônus de Assinatura do Pré-Sal"/>
        <s v="Juros Banc. Op. Financeiras - Termo de Compromisso Ambiental REVAP Banhado"/>
        <s v="Juros Banc. Op. Financeiras - Termo de Compromisso Ambiental REVAP Pq Augusto Ruschi"/>
        <s v="Juros Banc. Op. Financeiras - Termo de Compromisso Ambiental REVAP Plano de Trabalho Banhado"/>
        <s v="Juros Banc. Op. Financeiras - Emenda parlamentar - Obras de Infraestrutura Viária Arena Municipal de Esportes"/>
        <s v="Juros Banc. Op. Financeiras - Emenda Parlamentar - Proteção ao Cidadão"/>
        <s v="Juros Banc. Op. Financeiras - Polo Gerador de Trafégo - Fundo Municipal de Transporte"/>
        <s v="Juros Banc. Op. Financeiras - Convênio Estadual Implantação de Academia ao Ar Livre"/>
        <s v="Juros Banc. Op. Financeiras - COAPES - Contrato Organizativo de Ação Pública Ensino - Saúde"/>
        <s v="Juros Banc. Op. Financeiras - Convênio Secretaria de Desenvolvimento Regional/SDR - Infraestrutura Urbana"/>
        <s v="Juros Banc. Op. Financeiras - Fundo Municipal dos Direitos da Criança e do Adolescente - FUMDICAD"/>
        <s v="Juros Banc. Op. Financeiras - Convênio Estadual Revitalização e Modern. Pista de Skate do Vista Verde"/>
        <s v="Juros Banc. Op. Financeiras - FNAS - Emenda Parlamentar"/>
        <s v="Juros Banc. Op. Financeiras - FEAS - Abrigo Institucional e Casa de Passagem"/>
        <s v="Juros Banc. Op. Financeiras - Outorga Aeroporto Professor Urbano Stumpf"/>
        <s v="Juros Banc. Op. Financeiras - Ministério do Desenvolvimento Social - IGD - Programa Bolsa Família"/>
        <s v="Juros Banc. Op. Financeiras - Concessão Onerosa - Arena Esportiva Farma Conde"/>
        <s v="Juros Banc. Op. Financeiras - Emenda Parlamentar Individual Estadual - SASC"/>
        <s v="Juros Banc. Op. Financeiras - Fundo Estadual de Assistência Social - FEAS - Benefícios Eventuais"/>
        <s v="Juros Banc. Op. Financeiras - Convênio Secretaria de Educação do Estado - Programa de Transporte de Alunos da Rede Estadual de Ensino"/>
        <s v="Juros Banc. Op. Financeiras - Convênio SDE-SP – Formação de Professores e Gestores do CITE e CEDEMP"/>
        <s v="Juros Banc. Op. Financeiras - Convênio Estadual - Cidadania no Campo - Município Agro"/>
        <s v="Juros Banc. Op. Financeiras - Emenda Parlamentar - Investimentos Diversos"/>
        <s v="Juros Banc. Op. Financeiras - Convênio Secretaria de Educação Estado de São Paulo - Repasse Fundeb"/>
        <s v="Juros Banc. Op. Financeiras - Convênio Secretaria de Educação Estado de São Paulo - Repasse Salário Educação"/>
        <s v="Juros Banc. Op. Financeiras - Compensação Ambiental - Sistema Viário Via Cambuí "/>
        <s v="Juros Banc. Op. Financeiras - Procad SUAS"/>
        <s v="Juros Banc. Op. Financeiras - Convênio Ministério do Esporte - Modernização do Campo do Esporte Clube Interlagos - Emenda Parlamentar Individual"/>
        <s v="Juros Banc. Op. Financeiras - Termo de Compromisso de Compensação Ambiental - Via Cambuí - APA Federal Mananciais Rio Paraíba do Sul"/>
        <s v="Juros Banc. Op. Financeiras - FNAS - Emenda Parlamentar Individual - Sociedade Holística Humanitária"/>
        <s v="Juros Banc. Op. Financeiras - Piso Salarial Enfermagem"/>
        <s v="Juros Banc. Op. Financeiras - Convênio Ministério do Esporte - Modernização e Revitalização de Pistas de Skate no Município de São José dos Campos"/>
        <s v="Juros Banc. Op. Financeiras - FNDE - Programa Escola em Tempo Integral"/>
        <s v="Juros Banc. Op. Financeiras - Emenda Parlamentar Individual Estadual - Aquisição de Equipamentos GCM - Stand de Tiro"/>
        <s v="Juros Banc. Op. Financeiras - Convênio com o Ministério do Meio Ambiente e Mudança do Clima - Projeto Fazenda Urbana"/>
        <s v="Juros Banc. Op. Financeiras - Convênio Fehidro - Restauração Ecológica no Manancial Jaguari em São José dos Campos"/>
        <s v="Juros Banc. Op. Financeiras - Convênio Fehidro - Restauração Florestal no Manancial Jaguari em São José dos Campos"/>
        <s v="Juros Banc. Op. Financeiras - Emenda Parlamentar Estadual - Convênio SSP-SP - Secretaria de Proteção ao Cidadão"/>
        <s v="Juros Banc. Op. Financeiras - Fundo Estadual de Assistência Social - FEAS - Proteção Social Especial Média Complexidade"/>
        <s v="JUROS BANC. OP. FINANCEIRAS - Convênio FEHIDRO - Manancial Jaguari - Fase II"/>
        <s v="Juros Banc. Op. Financeiras - Convênio Departamento de Estradas de Rodagem - DER - Via Jaguari"/>
        <s v="Juros Banc. Op. Financeiras - Emenda Parlamentar Federal Individual - Aquisição de Estande de Tiro Virtual"/>
        <s v="Juros Banc. Op. Financeiras - Emenda Parlamentar Federal Individual - Investimentos SEPAC"/>
        <s v="Juros Banc. Op. Financeiras - Receita com Utilização do Centro de Treinamento do Atleta Cidadão - CTAC"/>
        <s v="Juros Banc. Op. Financeiras - Convênio Estadual Cozinhalimento - Instalação de Cozinha Piloto Experimental"/>
        <s v="Juros Banc. Op. Financeiras - Emenda Parlamentar Federal Individual - FNAS - AAFLAP"/>
        <s v="Juros Banc. Op. Financeiras - Emenda Parlamentar Federal Individual - FNAS - Associação Virgem de Guadalupe - Corrente"/>
        <s v="Juros Banc. Op. Financeiras - Fundo Estadual de Assistência Social - FEAS - Custeio - Associação de Pais e Amigos dos Excepcionais de São José dos Campos - APAE-SJC"/>
        <s v="Juros Banc. Op. Financeiras - Fundo Estadual de Assistência Social - FEAS - Vigilância Socioassistencial "/>
        <s v="Juros Banc. Op. Financeiras - Fundo Estadual de Assistência Social - FEAS - CRAS Santa Rita"/>
        <s v="Juros Banc. Op. Financeiras - Fundo Estadual de Assistência Social - FEAS - Custeio OSC"/>
        <s v="Juros Banc. Op. Financeiras - Multas por Auto de Infração - Combate à Dengue"/>
        <s v="Juros Banc. Op. Financeiras - Convênio Ministério do Esporte - Construção de Espaço Esportivo Comunitário Jd Mariana - Novo PAC"/>
        <s v="Juros Banc. Op. Financeiras - FNDE - Construção de Creche e Escola de Educação Infantil - EMEI Jd Santa Júlia - Novo PAC"/>
        <s v="Juros Banc. Op. Financeiras - Transferência de Recursos do SUS - Atenção Especializada - Via Emenda Parlamentar Individual"/>
        <s v="Juros Banc. Op. Financeiras - Serviços de Suporte e Intervenção de Trânsito SEMOB - FMT"/>
        <s v="Juros Banc. Op. Financeiras - Emenda Parlamentar Federal Individual - 40360008/2024 - Portaria 5.926/2024 - Área: Saúde - CVV_x0009_"/>
        <s v="Juros Banc. Op. Financeiras - Emenda Parlamentar Federal Individual - 40360008/2024 - Portaria 6.122/2024 - Área: Saúde - Pio XII"/>
        <s v="Juros Banc. Op. Financeiras - Repasse Processos Judiciais - Saúde"/>
        <s v="Juros Banc. Op. Financeiras - SUS - Fundo Nacional de Saúde - Construção de Maternidade - Novo PAC"/>
        <s v="Juros Banc. Op. Financeiras - Emenda Parlamentar Federal Individual - 39280003/2024 - Transferência Especial - Área: Esporte"/>
        <s v="Juros Banc. Op. Financeiras - Emenda Parlamentar Estadual Individual - 057.71657/2025 - Área: Segurança Pública"/>
        <s v="Juros Banc. Op. Financeiras - Emenda Parlamentar Federal Individual - 90320007/2025 - Portaria 7.413/2025 - Área: Saúde - Reforma UBS"/>
        <s v="Juros Banc. Op. Financeiras - Operação Urbana Consorciada do Bairro Urbanova"/>
        <s v="Juros Banc. Op. Financeiras - Fundo Municipal de Saúde - Taxas e Multas Saúde"/>
        <s v="Juros Banc. Op. Financeiras - Emenda Parlamentar Federal Individual - 25200009/2025 - Portaria 7.518/2025 - Área: Saúde - Pio XII"/>
        <s v="Juros Banc. Op. Financeiras - Emenda Parlamentar Federal Individual - 36110001/2025 - Portaria 7.518/2025 - Área: Saúde - Pio XII"/>
        <s v="Juros Banc. Op. Financeiras - Emenda Parlamentar Federal Individual - 25170002/2025 - Portaria 7.518/2025 - Área: Saúde - Pio XII"/>
        <s v="Juros Banc. Op. Financeiras - Emenda Parlamentar Federal Individual - 31600015/2025 - Portaria 7.472/2025 - Área: Saúde - Pio XII"/>
        <s v="Juros Banc. Op. Financeiras - _x0009_Emenda Parlamentar Federal Individual - 15680011/2025 - Portaria 7.642/2025 - Área: Saúde - Pio XII"/>
        <s v="Juros Banc. Op. Financeiras - Emenda Parlamentar Federal Individual - 43490002/2025 - Portaria 7.505/2025 - Área: Saúde - CVV"/>
        <s v="Juros Banc. Op. Financeiras - Emenda Parlamentar Federal Individual - 41550002/2025 - Portaria 7.474/2025 - Área: Saúde - Pio XII"/>
        <s v="Juros Banc. Op. Financeiras - Emenda Parlamentar Federal Individual - 38990017/2025 - Portaria 7.500/2025 - Área: Saúde - Pio XII"/>
        <s v="Juros Banc. Op. Financeiras - Emenda Parlamentar Federal Individual - 37170021/2025 - Área: Assistência Social - Alpha Lumen"/>
        <s v="Juros Banc. Op. Financeiras - Emenda Parlamentar Federal Individual - 37300005/2025 - Portaria 7.500/2025 - Área: Saúde - Pio XII"/>
        <s v="Juros Banc. Op. Financeiras - Emenda Parlamentar Federal Individual - 15810017/2025 - Portaria 7.518/2025 - Área: Saúde - Pio XII"/>
        <s v="Juros Banc. Op. Financeiras - Emenda Parlamentar Federal Individual - 37170012/2025 - Portaria 7.474/2025 - Área: Saúde - Pio XII"/>
        <s v="Juros Banc. Op. Financeiras - Emenda Parlamentar Federal Individual - 37300004/2025 - Portaria 7.413/2025 - Área: Saúde – FMS"/>
        <s v="Juros Banc. Op. Financeiras - Emenda Parlamentar Individual - Implantação de Sala Multissensorial SEC - Alteração de Objeto"/>
        <s v="Juros Banc. Op. Financeiras - Emenda Parlamentar Federal Individual - 37300002/2025 - Área: Assistência Social - Unidade Vicentina"/>
        <s v="Juros Banc. Op. Financeiras - Emenda Parlamentar Federal Individual - 37460001/2025 - Portaria 8.780/2025 - Área: Saúde - Pio XII"/>
        <s v="Juros Banc. Op. Financeiras - Emenda Parlamentar Federal Individual - 15680013/2025 - Transferência Especial - Área: Mobilidade Urbana"/>
        <s v="Juros Banc. Op. Financeiras - Emenda Parlamentar Estadual Individual - 322.63288/2024 - Área: Esportes - Circuito Joseense de Taekwondo"/>
        <s v="Juros Banc. Op. Financeiras - Emenda Parlamentar Federal de Comissão - 50410002/2025 - Portaria 8.886/2025 - Área: Saúde - FMS"/>
        <s v="Juros Banc. Op. Financeiras - Emenda Parlamentar Federal de Comissão - 50410002/2025 - Portaria 8.886/2025 - Área: Saúde - Pio XII"/>
        <s v="Juros Banc. Op. Financeiras - Transferência de Recursos do Fundo Nacional de Assistência Social - FNAS - Programa de Erradicação do Trabalho Infantil"/>
        <s v="Juros Banc. Op. Financeiras - Transferências da Política Nacional Aldir Blanc de Fomento à Cultura - Lei nº 14.399/2022 - Ciclo 2"/>
        <s v="Juros Banc. Op. Financeiras - Transferências de Recursos do Fundo Nacional de Assistência Social – FNAS - Piso Básico Fixo"/>
        <s v="Juros Banc. Op. Financeiras - Transferência de Recursos do Fundo Nacional de Assistência Social - FNAS - Piso de Alta Complexidade"/>
        <s v="Juros Banc. Op. Financeiras - Concessão de Uso - Quiosques Banhado_x0009_"/>
        <s v="DIVIDENDOS"/>
        <s v="Dividendos - Principal"/>
        <s v="TRANSFERÊNCIAS CORRENTES"/>
        <s v="TRANSFERÊNCIAS DA UNIÃO E DE SUAS ENTIDADES"/>
        <s v="TRANSFERÊNCIAS DECORRENTES DE PARTICIPAÇÃO NA RECEITA DA UNIÃO"/>
        <s v="COTA-PARTE DO FUNDO DE PARTICIPAÇÃO DOS MUNICÍPIOS - FPM"/>
        <s v="COTA-PARTE DO FUNDO DE PARTICIPAÇÃO DOS MUNICÍPIOS - COTA MENSAL"/>
        <s v="Cota-Parte do Fundo de Participação dos Municípios - Cota Mensal - Principal"/>
        <s v="COTA-PARTE DO FUNDO DE PARTICIPAÇÃO DO MUNICÍPIOS – COTAS EXTRAORDINÁRIAS"/>
        <s v="Cota-Parte do Fundo de Participação do Municípios - 1% Cota entregue no mês de dezembro - EC 55/2007"/>
        <s v="Cota-Parte do Fundo de Participação dos Municípios - 1% Cota entregue no mês de julho - EC 84/2014"/>
        <s v="Cota-Parte do Fundo de Participação do Municípios – 1% Cota entregue no mês de setembro - EC 112/2021"/>
        <s v="COTA-PARTE DO IMPOSTO SOBRE A PROPRIEDADE TERRITORIAL RURAL"/>
        <s v="Cota-Parte do Imposto Sobre a Propriedade Territorial Rural - ITR"/>
        <s v="TRANSFERÊNCIAS DAS COMPENSAÇÕES FINANCEIRAS PELA EXPLORAÇÃO DE RECURSOS NATURAIS"/>
        <s v="COTA-PARTE DA COMPENSAÇÃO FINANCEIRA PELA EXPLORAÇÃO DE RECURSOS HÍDRICOS"/>
        <s v="Cota-parte da Compensação Financeira de Recursos Hídricos - CFH"/>
        <s v="COTA-PARTE DA COMPENSAÇÃO FINANCEIRA PELA EXPLORAÇÃO DE RECURSOS MINERAIS - CFEM"/>
        <s v="Cota-parte da Compensação Financeira de Recursos Minerais - CFEM"/>
        <s v="COTA-PARTE DA COMPENSAÇÃO FINANCEIRA PELA PRODUÇÃO DE PETRÓLEO "/>
        <s v="COTA-PARTE DA COMPENSAÇÃO FINANCEIRA PELA PRODUÇÃO DE PETRÓLEO – LEI Nº 7.990/89"/>
        <s v="Cota-parte Royalties - Compensação Financeira pela Produção de Petróleo - Lei nº 7.990/89"/>
        <s v="COTA-PARTE PELO EXCEDENTE DA PRODUÇÃO DO PETRÓLEO – LEI Nº 9.478/97, ARTIGO 49, I E II"/>
        <s v="Cota-Parte Royalties pelo Excedente da Produção do Petróleo - Lei nº 9.478/97, Artigo 49, I e II - Principal"/>
        <s v="COTA-PARTE DO FUNDO ESPECIAL DO PETRÓLEO – FEP"/>
        <s v="Cota-Parte do Fundo Especial do Petróleo – FEP - Principal"/>
        <s v="TRANSFERÊNCIAS DE RECURSOS DO SISTEMA ÚNICO DE SAÚDE – SUS "/>
        <s v="TRANSFERÊNCIAS DE RECURSOS DO SISTEMA ÚNICO DE SAÚDE – SUS – REPASSES FUNDO A FUNDO - BLOCO DE MANUTENÇÃO DAS AÇÕES E SERVIÇOS PÚBLICOS DE SAÚDE"/>
        <s v="TRANSFERÊNCIAS DE RECURSOS DO BLOCO DE MANUTENÇÃO DAS AÇÕES E SERVIÇOS PÚBLICOS DE SAÚDE – ATENÇÃO PRIMÁRIA"/>
        <s v="SUS - Piso Atenção Básica Ampliada - PABA"/>
        <s v="SUS - Atenção Básica - Agente Comunitário de Saúde"/>
        <s v="TRANSFERÊNCIAS DE RECURSOS DO BLOCO DE MANUTENÇÃO DAS AÇÕES E SERVIÇOS PÚBLICOS DE SAÚDE – ATENÇÃO ESPECIALIZADA"/>
        <s v="SUS - Gestão Plena - Sistema de Informações Hospitalares - SIH"/>
        <s v="TRANSFERÊNCIAS DE RECURSOS DO BLOCO DE MANUTENÇÃO DAS AÇÕES E SERVIÇOS PÚBLICOS DE SAÚDE – VIGILÂNCIA EM SAÚDE"/>
        <s v="SUS - Vigilância em Saúde - Teto Financeiro - TFVS"/>
        <s v="SUS - Vigilância em Saúde - AIDS"/>
        <s v="SUS - Vigilância em Saúde - Agentes de Combate às Endemias"/>
        <s v="TRANSFERÊNCIAS DE RECURSOS DO BLOCO DE MANUTENÇÃO DAS AÇÕES E SERVIÇOS PÚBLICOS DE SAÚDE – ASSISTÊNCIA FARMACÊUTICA"/>
        <s v="SUS - Assistência Farmacêutica - Aquisição de Medicamentos"/>
        <s v="TRANSFERÊNCIAS DE RECURSOS DO BLOCO DE MANUTENÇÃO DAS AÇÕES E SERVIÇOS PÚBLICOS DE SAÚDE – GESTÃO DO SUS"/>
        <s v="Assistência Financeira Complementar da União destinada ao cumprimento dos pisos salariais da enfermagem"/>
        <s v="TRANSFERÊNCIAS DE RECURSOS DO FUNDO NACIONAL DO DESENVOLVIMENTO DA EDUCAÇÃO – FNDE¿ "/>
        <s v="TRANSFERÊNCIAS DO SALÁRIO-EDUCAÇÃO"/>
        <s v="Transferência do Salário Educação - Principal"/>
        <s v="TRANSFERÊNCIAS REFERENTES AO PROGRAMA NACIONAL DE ALIMENTAÇÃO ESCOLAR – PNAE"/>
        <s v="Programa Nacional de Alimentação Escolar - PNAE - Pré-Escola"/>
        <s v="Programa Nacional de Alimentação Escolar - PNAE - Atendimento Educacional Especializado - AEE"/>
        <s v="Programa Nacional de Alimentação Escolar - PNAE - Creche"/>
        <s v="Programa Nacional de Alimentação Escolar - PNAE - Ensino Fundamental"/>
        <s v="Programa Nacional de Alimentação Escolar - PNAE - Educação de Jovens e Adultos - EJA"/>
        <s v="Programa Nacional de Alimentação Escolar - PNAE - Ensino Médio"/>
        <s v="Programa Nacional de Alimentação Escolar - PNAE - Povos e Comunidades Tradicionais"/>
        <s v="TRANSFERÊNCIAS REFERENTES AO PROGRAMA NACIONAL DE APOIO AO TRANSPORTE DO ESCOLAR – PNATE"/>
        <s v="Programa Nacional de Apoio ao Transporte Escolar - PNATE"/>
        <s v="TRANSFERÊNCIAS DE RECURSOS DE COMPLEMENTAÇÃO DA UNIÃO AO FUNDO DE MANUTENÇÃO E DESENVOLVIMENTO DA EDUCAÇÃO BÁSICA E DE VALORIZAÇÃO DOS PROFISSIONAIS DA EDUCAÇÃO – FUNDEB "/>
        <s v="TRANSFERÊNCIAS DE RECURSOS DA COMPLEMENTAÇÃO DA UNIÃO AO FUNDO DE MANUTENÇÃO E DESENVOLVIMENTO DA EDUCAÇÃO BÁSICA E DE VALORIZAÇÃO DOS PROFISSIONAIS DA EDUCAÇÃO – FUNDEB"/>
        <s v="TRANSFERÊNCIAS DE RECURSOS DE COMPLEMENTAÇÃO DA UNIÃO AO FUNDEB – VAAR"/>
        <s v="Transferências de Recursos do FUNDEB destinados à criação de matrículas ETI"/>
        <s v="TRANSFERÊNCIAS DE RECURSOS DO FUNDO NACIONAL DE ASSISTÊNCIA SOCIAL – FNAS "/>
        <s v="TRANSFERÊNCIAS DE RECURSOS DO FUNDO NACIONAL DE ASSISTÊNCIA SOCIAL – FNAS"/>
        <s v="Ministério do Desenvolvimento Social - IGD - Programa Bolsa Família"/>
        <s v="Transferência de Recursos do Fundo Nacional de Assistência Social - FNAS - Piso de Alta Complexidade"/>
        <s v="Transferências de Recursos do Fundo Nacional de Assistência Social – FNAS - Piso Básico Fixo"/>
        <s v="TRANSFERÊNCIAS DE CONVÊNIOS DA UNIÃO E DE SUAS ENTIDADES"/>
        <s v="OUTRAS TRANSFERÊNCIAS DE RECURSOS DA UNIÃO E DE SUAS ENTIDADES"/>
        <s v="Programa Técnico Social - Ministério das Cidades"/>
        <s v="TRANSFERÊNCIA OBRIGATÓRIA DECORRENTE DA LEI COMPLEMENTAR Nº 176/2020"/>
        <s v="Compensação da União - LC 176/2020"/>
        <s v="TRANSFERÊNCIAS DOS ESTADOS E DO DISTRITO FEDERAL E DE SUAS ENTIDADES"/>
        <s v="PARTICIPAÇÃO NA RECEITA DOS ESTADOS E DISTRITO FEDERAL"/>
        <s v="COTA-PARTE DO ICMS"/>
        <s v="COTA-PARTE DO IPVA"/>
        <s v="COTA-PARTE DO IPI - MUNICÍPIOS"/>
        <s v="Cota-Parte do IPI - Exportação - Lei 61/1989"/>
        <s v="COTA-PARTE DA CONTRIBUIÇÃO DE INTERVENÇÃO NO DOMÍNIO ECONÔMICO"/>
        <s v="TRANSFERÊNCIAS DE CONVÊNIOS DOS ESTADOS E DF E DE SUAS ENTIDADES"/>
        <s v="TRANSFERÊNCIAS DE CONVÊNIOS DOS ESTADOS E DF PARA O SISTEMA ÚNICO DE SAÚDE – SUS"/>
        <s v="SUS - Estadual - Atenção Básica"/>
        <s v="SUS - Estadual - MAC - Média e Alta Complexidade"/>
        <s v="SUS - Estadual - Vigilância em Saúde"/>
        <s v="SUS - Estadual - Assistência Farmacêutica"/>
        <s v="TRANSFERÊNCIAS DE CONVÊNIOS DOS ESTADOS DESTINADAS A PROGRAMAS DE EDUCAÇÃO"/>
        <s v="Convênio Secretaria de Educação do Estado - Programa de Transporte de Alunos da Rede Estadual de Ensino"/>
        <s v="OUTRAS TRANSFERÊNCIAS DE CONVÊNIOS DOS ESTADOS E DF E DE SUAS ENTIDADES"/>
        <s v="Convênio com a Fundação de Proteção e Defesa do Consumidor - PROCON"/>
        <s v="OUTRAS TRANSFERÊNCIAS DOS ESTADOS E DISTRITO FEDERAL"/>
        <s v="TRANSFERÊNCIAS DE ESTADOS DESTINADAS À ASSISTÊNCIA SOCIAL"/>
        <s v="Fundo Estadual de Assistência Social - FEAS - Proteção Social Básica"/>
        <s v="Fundo Estadual de Assistência Social - FEAS - Benefícios Eventuais"/>
        <s v="Fundo Estadual de Assistência Social - FEAS - Proteção Social Especial Média Complexidade"/>
        <s v="TRANSFERÊNCIAS DOS MUNICÍPIOS E DE SUAS ENTIDADES"/>
        <s v="TRANSFERÊNCIAS DE CONVÊNIOS DOS MUNICÍPIOS E DE SUAS ENTIDADES"/>
        <s v="Convênio Prefeitura Monteiro Lobato - Pavimentação de Estradas Municipais"/>
        <s v="TRANSFERÊNCIAS DE OUTRAS INSTITUIÇÕES PÚBLICAS"/>
        <s v="TRANSFERÊNCIAS DE RECURSOS DO FUNDO DE MANUTENÇÃO E DESENVOLVIMENTO DA EDUCAÇÃO BÁSICA E DE VALORIZAÇÃO DOS PROFISSIONAIS DA EDUCAÇÃO - FUNDEB"/>
        <s v="TRANSFERÊNCIAS DE RECURSOS DO FUNDO DE MANUTENÇÃO E DESENVOLVIMENTO DA EDUCAÇÃO BÁSICA E DE VALORIZAÇÃO DOS PROFISSIONAIS DA EDUCAÇÃO – FUNDEB"/>
        <s v="FUNDEB - FPM"/>
        <s v="FUNDEB - ITR"/>
        <s v="FUNDEB - ICMS"/>
        <s v="FUNDEB - IPI"/>
        <s v="FUNDEB - IPVA"/>
        <s v="FUNDEB - ITCMD"/>
        <s v="FUNDEB - FPE"/>
        <s v="OUTRAS RECEITAS CORRENTES"/>
        <s v="MULTAS ADMINISTRATIVAS, CONTRATUAIS E JUDICIAIS"/>
        <s v="MULTAS PREVISTAS EM LEGISLAÇÃO ESPECÍFICA"/>
        <s v="MULTAS PREVISTAS EM LEGISLAÇÃO ESPECÍFICA -  PRINCIPAL"/>
        <s v="Multas por Auto de Infração - Recursos Próprios"/>
        <s v="Multas por Auto de Infração - Fundo Municipal de Saúde - Vigilância Sanitária"/>
        <s v="Multas por Auto de Infração - Combate à Dengue"/>
        <s v="Multas por Auto de Infração - Procon"/>
        <s v="Multas Junta de Justiça Desportiva - FADEJ"/>
        <s v="MULTAS PREVISTAS EM LEGISLAÇÃO ESPECÍFICA -  MULTAS E JUROS"/>
        <s v="Juros de Mora - Multas por Auto de Infração - Procon"/>
        <s v="MULTAS PREVISTAS EM LEGISLAÇÃO ESPECÍFICA -  DÍVIDA ATIVA"/>
        <s v="Dívida Ativa Não Tributária - Multas por Auto de Infração - Recursos Próprios"/>
        <s v="Dívida Ativa - Multa por Auto de Infração - Procon"/>
        <s v="MULTAS PREVISTAS EM LEGISLAÇÃO ESPECÍFICA - DÍVIDA ATIVA - MULTAS E JUROS"/>
        <s v="Dívida Ativa - Juros de Mora, Multa e Atualização Monetária - Procon"/>
        <s v="MULTAS E JUROS PREVISTOS EM CONTRATOS"/>
        <s v="Multas e Juros Previstos em Contratos -  Principal"/>
        <s v="Multas e Juros Previstos em Contratos -  Dívida Ativa"/>
        <s v="MULTAS PREVISTAS NO CÓDIGO DE TRÂNSITO BRASILEIRO - CTB"/>
        <s v="Multas Previstas na Legislação de Trânsito - Normal"/>
        <s v="Multas Previstas na Legislação de Trânsito - Funset"/>
        <s v="Div. Ativa Não Trib. - Multas Prev. Legislação de Trânsito - Normal"/>
        <s v="Div. Ativa Não Trib. - Multas Prev. Legislação de Trânsito - Parcelamento"/>
        <s v="INDENIZAÇÕES, RESTITUIÇÕES E RESSARCIMENTOS"/>
        <s v="INDENIZAÇÕES"/>
        <s v="OUTRAS INDENIZAÇÕES"/>
        <s v="RESTITUIÇÕES"/>
        <s v="RESTITUIÇÃO DE DESPESAS DE EXERCÍCIOS ANTERIORES"/>
        <s v="RESTITUIÇÃO DE DESPESAS PRIMÁRIAS DE EXERCÍCIOS ANTERIORES"/>
        <s v="DEMAIS RECEITAS CORRENTES"/>
        <s v="OUTRAS RECEITAS"/>
        <s v="OUTRAS RECEITAS NÃO ARRECADADAS E NÃO PROJETADAS PELA RFB - PRIMÁRIAS  "/>
        <s v="Fundo Municipal de Assistência Social - FMAS"/>
        <s v="Fundo de Apoio ao Desporto Joseense - FADEJ"/>
        <s v="Fundo Municipal de Turismo - FUMTUR"/>
        <s v="Diversas Rendas - Recursos Próprios"/>
        <s v="Repasse Processos Judiciais - Saúde"/>
        <s v="Zona Azul e outras"/>
        <s v="Fundo Social de Solidariedade"/>
        <s v="Fundo Municipal Antidrogas"/>
        <s v="Fundo Municipal de Conservação Ambiental - FUMCAM - Saneamento Básico - Contrato Sabesp"/>
        <s v="Fundo Municipal de Habitação - FMH"/>
        <s v="Fundo Municipal de Preservação do Patr. Histórico, Artístico, Paisagístico e Cultural - FUMPHAC"/>
        <s v="Fundo Municipal do Idoso"/>
        <s v="Fundo Municipal de Serviços Ecossistêmicos"/>
        <s v="Fundo Municipal de Conservação Ambiental - FUMCAM"/>
        <s v="Depósitos Judiciais - Lei 151/2015"/>
        <s v="Fundo Municipal de Transportes - Serviço de Transporte Privado"/>
        <s v="Fundo Municipal de Transportes -  Serviço de Compartilhamento de Bicicletas e Patinetes"/>
        <s v="Doação Causa Animal - IPTU"/>
        <s v="Fundo Municipal de Desenvolvimento Urbano - FMDU"/>
        <s v="Atividade Complementar Guarda Civil Municipal"/>
        <s v="Fundo Municipal dos Direitos da Criança e do Adolescente - FUMDICAD"/>
        <s v="Serviços de Suporte e Intervenção de Trânsito SEMOB - FMT"/>
        <s v="Divida Ativa Não Tributária - Outras"/>
        <s v="Multas e Juros de Mora da Dívida Ativa de Outros Tributos"/>
        <s v="RECEITAS DE CAPITAL"/>
        <s v="OPERAÇÕES DE CRÉDITO"/>
        <s v="OPERAÇÕES DE CRÉDITO - MERCADO INTERNO"/>
        <s v="OUTRAS OPERAÇÕES DE CRÉDITO - MERCADO INTERNO"/>
        <s v="Operação de Crédito - Programa Pró-Transporte, Eixo Cidades Sustentáveis e Resilientes"/>
        <s v="Operação de Crédito - Programa Pró-Moradia"/>
        <s v="ALIENAÇÃO DE BENS"/>
        <s v="ALIENAÇÃO DE BENS MÓVEIS"/>
        <s v="ALIENAÇÃO DE TÍTULOS MOBILIÁRIOS"/>
        <s v="ALIENAÇÃO DE TÍTULOS, VALORES MOBILIÁRIOS E APLICAÇÕES CONGÊNERES TEMPORÁRIAS"/>
        <s v="TRANSFERÊNCIAS DE CAPITAL"/>
        <s v="TRANSFERÊNCIAS DE RECURSOS DO SISTEMA ÚNICO DE SAÚDE - SUS"/>
        <s v="TRANSFERÊNCIAS DE RECURSOS DO SISTEMA ÚNICO DE SAÚDE – SUS - FUNDO A FUNDO - BLOCO DE ESTRUTURAÇÃO DA REDE DE SERVIÇOS PÚBLICOS DE SAÚDE"/>
        <s v="TRANSFERÊNCIAS DE RECURSOS DO BLOCO DE ESTRUTURAÇÃO DA REDE DE SERVIÇOS PÚBLICOS DE SAÚDE - ATENÇÃO ESPECIALIZADA"/>
        <s v="SUS - Fundo Nacional de Saúde - Construção de Maternidade - Novo PAC"/>
        <s v="TRANSFERÊNCIAS DE CONVÊNIOS DOS ESTADOS E DF E DE SUAS ENTIDADES "/>
        <s v="Convênio CDHU - Construção de Unidades Habitacionais"/>
        <s v="Emenda Parlamentar Estadual Individual - 325.66369/2025 - Área: Obras - Construção de Praça no Jd. das Indústrias"/>
        <s v="Convênio Fehidro - GAP Residencial Flamboyant"/>
        <s v="Convênio Fehidro - Contenção na Margem do Córrego Senhorinha"/>
        <s v="Restauração da Igreja São Benedito - Secretaria de Governo e Relações Institucionais"/>
        <s v="Emenda Parlamentar Estadual Individual - 429.20005/2025 - Área: Segurança Pública - Aquisição Viatura GCM"/>
        <s v="TRANSFERÊNCIAS DE INSTITUIÇÕES PRIVADAS"/>
        <s v="OUTRAS TRANSFERÊNCIAS DE INSTITUIÇÕES PRIVADAS"/>
        <s v="Convênio de Instituições Privadas de Ensino na Área de Saúde - Contrapartida - Investimentos"/>
        <s v="Polo Gerador de Trafégo - Fundo Municipal de Transporte"/>
        <s v="COAPES - Contrato Organizativo de Ação Pública Ensino - Saúde"/>
        <s v="Dedução da Receita Corrente"/>
        <s v="Dedução"/>
        <s v="Dedução da Receita"/>
        <s v="Dedução de Receita para Formação do Fundeb - União"/>
        <s v="Dedução de Receita para Formação do Fundeb - FPM"/>
        <s v="Dedução de Receita para Formação Do Fundeb - ITR"/>
        <s v="Dedução para Formação do Fundeb - Estadual"/>
        <s v="® DEDUÇÃO DAS RECEITAS DE TRANSFERENCIA DO UNIÃO"/>
        <s v="Dedução de Receita para Formação do Fundeb - ICMS"/>
        <s v="Dedução de Receita para Formação do Fundeb - IPVA"/>
        <s v="Dedução de Receita para Formação do Fundeb - IPI"/>
        <m/>
      </sharedItems>
    </cacheField>
    <cacheField name="Receita Mês (R$)" numFmtId="0">
      <sharedItems containsString="0" containsBlank="1" containsNumber="1" minValue="-12168390.09" maxValue="110805623.02"/>
    </cacheField>
    <cacheField name="Receita Ano (R$)" numFmtId="0">
      <sharedItems containsString="0" containsBlank="1" containsNumber="1" minValue="-82733316.950000003" maxValue="1093623405.1400001"/>
    </cacheField>
    <cacheField name="Receita Orçada (R$)" numFmtId="0">
      <sharedItems containsString="0" containsBlank="1" containsNumber="1" containsInteger="1" minValue="-378812000" maxValue="4773581000"/>
    </cacheField>
  </cacheFields>
  <extLst>
    <ext xmlns:x14="http://schemas.microsoft.com/office/spreadsheetml/2009/9/main" uri="{725AE2AE-9491-48be-B2B4-4EB974FC3084}">
      <x14:pivotCacheDefinition pivotCacheId="170503679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4">
  <r>
    <n v="2026"/>
    <n v="3"/>
    <x v="0"/>
    <m/>
    <m/>
    <x v="0"/>
    <n v="110805623.02"/>
    <n v="1093623405.1400001"/>
    <n v="4773581000"/>
  </r>
  <r>
    <n v="2026"/>
    <n v="3"/>
    <x v="1"/>
    <m/>
    <m/>
    <x v="1"/>
    <n v="12330121.74"/>
    <n v="430747358.54000002"/>
    <n v="1624916000"/>
  </r>
  <r>
    <n v="2026"/>
    <n v="3"/>
    <x v="2"/>
    <m/>
    <m/>
    <x v="2"/>
    <n v="11328069.66"/>
    <n v="403883640.11000001"/>
    <n v="1575764000"/>
  </r>
  <r>
    <n v="2026"/>
    <n v="3"/>
    <x v="3"/>
    <m/>
    <m/>
    <x v="3"/>
    <n v="7695960.7800000003"/>
    <n v="231198583.31"/>
    <n v="595860000"/>
  </r>
  <r>
    <n v="2026"/>
    <n v="3"/>
    <x v="4"/>
    <m/>
    <m/>
    <x v="4"/>
    <n v="5729901.9400000004"/>
    <n v="214299367.53"/>
    <n v="474341000"/>
  </r>
  <r>
    <n v="2026"/>
    <n v="3"/>
    <x v="5"/>
    <n v="1"/>
    <n v="19"/>
    <x v="5"/>
    <n v="3045637.17"/>
    <n v="142005824.87"/>
    <n v="301075000"/>
  </r>
  <r>
    <n v="2026"/>
    <n v="3"/>
    <x v="6"/>
    <n v="1"/>
    <n v="27"/>
    <x v="6"/>
    <n v="799271.4"/>
    <n v="57070929.509999998"/>
    <n v="101642000"/>
  </r>
  <r>
    <n v="2026"/>
    <n v="3"/>
    <x v="7"/>
    <n v="1"/>
    <n v="1620"/>
    <x v="7"/>
    <n v="39021"/>
    <n v="686485.6"/>
    <n v="1943000"/>
  </r>
  <r>
    <n v="2026"/>
    <n v="3"/>
    <x v="8"/>
    <n v="1"/>
    <n v="2410"/>
    <x v="8"/>
    <n v="1609724.49"/>
    <n v="13270158.09"/>
    <n v="60571000"/>
  </r>
  <r>
    <n v="2026"/>
    <n v="3"/>
    <x v="9"/>
    <n v="1"/>
    <n v="1670"/>
    <x v="9"/>
    <n v="236247.88"/>
    <n v="1265969.46"/>
    <n v="9110000"/>
  </r>
  <r>
    <n v="2026"/>
    <n v="3"/>
    <x v="10"/>
    <m/>
    <m/>
    <x v="10"/>
    <n v="1966058.84"/>
    <n v="16899215.780000001"/>
    <n v="121519000"/>
  </r>
  <r>
    <n v="2026"/>
    <n v="3"/>
    <x v="11"/>
    <n v="1"/>
    <n v="248"/>
    <x v="11"/>
    <n v="1965938.84"/>
    <n v="16897471.870000001"/>
    <n v="121485000"/>
  </r>
  <r>
    <n v="2026"/>
    <n v="3"/>
    <x v="12"/>
    <n v="1"/>
    <n v="1650"/>
    <x v="12"/>
    <n v="120"/>
    <n v="1743.91"/>
    <n v="34000"/>
  </r>
  <r>
    <n v="2026"/>
    <n v="3"/>
    <x v="13"/>
    <m/>
    <m/>
    <x v="13"/>
    <n v="656826.31000000006"/>
    <n v="26084624.43"/>
    <n v="262009000"/>
  </r>
  <r>
    <n v="2026"/>
    <n v="3"/>
    <x v="14"/>
    <m/>
    <m/>
    <x v="14"/>
    <n v="656826.31000000006"/>
    <n v="26084624.43"/>
    <n v="262009000"/>
  </r>
  <r>
    <n v="2026"/>
    <n v="3"/>
    <x v="15"/>
    <m/>
    <m/>
    <x v="15"/>
    <n v="250.45"/>
    <n v="17616342.100000001"/>
    <n v="208151000"/>
  </r>
  <r>
    <n v="2026"/>
    <n v="3"/>
    <x v="16"/>
    <n v="1"/>
    <n v="1141"/>
    <x v="16"/>
    <n v="250.45"/>
    <n v="17616342.100000001"/>
    <n v="119320000"/>
  </r>
  <r>
    <n v="2026"/>
    <n v="3"/>
    <x v="17"/>
    <n v="1"/>
    <n v="2016"/>
    <x v="17"/>
    <n v="0"/>
    <n v="0"/>
    <n v="88831000"/>
  </r>
  <r>
    <n v="2026"/>
    <n v="3"/>
    <x v="18"/>
    <m/>
    <m/>
    <x v="18"/>
    <n v="656575.86"/>
    <n v="8468282.3300000001"/>
    <n v="53858000"/>
  </r>
  <r>
    <n v="2026"/>
    <n v="3"/>
    <x v="19"/>
    <n v="1"/>
    <n v="2018"/>
    <x v="19"/>
    <n v="656575.86"/>
    <n v="8468282.3300000001"/>
    <n v="53858000"/>
  </r>
  <r>
    <n v="2026"/>
    <n v="3"/>
    <x v="20"/>
    <m/>
    <m/>
    <x v="20"/>
    <n v="2975282.57"/>
    <n v="146600432.37"/>
    <n v="717895000"/>
  </r>
  <r>
    <n v="2026"/>
    <n v="3"/>
    <x v="21"/>
    <m/>
    <m/>
    <x v="21"/>
    <n v="2975282.57"/>
    <n v="146600432.37"/>
    <n v="717895000"/>
  </r>
  <r>
    <n v="2026"/>
    <n v="3"/>
    <x v="22"/>
    <m/>
    <m/>
    <x v="22"/>
    <n v="2975282.57"/>
    <n v="146600432.37"/>
    <n v="717895000"/>
  </r>
  <r>
    <n v="2026"/>
    <n v="3"/>
    <x v="23"/>
    <n v="1"/>
    <n v="35"/>
    <x v="23"/>
    <n v="1375051.05"/>
    <n v="115962361.42"/>
    <n v="538971000"/>
  </r>
  <r>
    <n v="2026"/>
    <n v="3"/>
    <x v="24"/>
    <n v="1"/>
    <n v="221"/>
    <x v="24"/>
    <n v="1464.48"/>
    <n v="61955.02"/>
    <n v="7363000"/>
  </r>
  <r>
    <n v="2026"/>
    <n v="3"/>
    <x v="25"/>
    <n v="1"/>
    <n v="222"/>
    <x v="25"/>
    <n v="977001.54"/>
    <n v="26750534.32"/>
    <n v="147773000"/>
  </r>
  <r>
    <n v="2026"/>
    <n v="3"/>
    <x v="26"/>
    <n v="1"/>
    <n v="1011"/>
    <x v="26"/>
    <n v="25570.68"/>
    <n v="294439"/>
    <n v="2914000"/>
  </r>
  <r>
    <n v="2026"/>
    <n v="3"/>
    <x v="27"/>
    <n v="1"/>
    <n v="1630"/>
    <x v="27"/>
    <n v="0"/>
    <n v="4509.3500000000004"/>
    <n v="72000"/>
  </r>
  <r>
    <n v="2026"/>
    <n v="3"/>
    <x v="28"/>
    <n v="1"/>
    <n v="2445"/>
    <x v="28"/>
    <n v="530416.59"/>
    <n v="3124581.15"/>
    <n v="18119000"/>
  </r>
  <r>
    <n v="2026"/>
    <n v="3"/>
    <x v="29"/>
    <n v="1"/>
    <n v="1680"/>
    <x v="29"/>
    <n v="65778.23"/>
    <n v="402052.11"/>
    <n v="2683000"/>
  </r>
  <r>
    <n v="2026"/>
    <n v="3"/>
    <x v="30"/>
    <m/>
    <m/>
    <x v="30"/>
    <n v="1002052.08"/>
    <n v="26863718.43"/>
    <n v="49150000"/>
  </r>
  <r>
    <n v="2026"/>
    <n v="3"/>
    <x v="31"/>
    <m/>
    <m/>
    <x v="31"/>
    <n v="114333.31"/>
    <n v="1042171.53"/>
    <n v="15015000"/>
  </r>
  <r>
    <n v="2026"/>
    <n v="3"/>
    <x v="32"/>
    <m/>
    <m/>
    <x v="32"/>
    <n v="85664.81"/>
    <n v="919642.21"/>
    <n v="14620000"/>
  </r>
  <r>
    <n v="2026"/>
    <n v="3"/>
    <x v="33"/>
    <n v="1"/>
    <n v="43"/>
    <x v="33"/>
    <n v="11317.5"/>
    <n v="126173.75999999999"/>
    <n v="101000"/>
  </r>
  <r>
    <n v="2026"/>
    <n v="3"/>
    <x v="34"/>
    <n v="1"/>
    <n v="51"/>
    <x v="34"/>
    <n v="14929.19"/>
    <n v="163863.26999999999"/>
    <n v="10325000"/>
  </r>
  <r>
    <n v="2026"/>
    <n v="3"/>
    <x v="35"/>
    <n v="1"/>
    <n v="78"/>
    <x v="35"/>
    <n v="0"/>
    <n v="321.95"/>
    <n v="59000"/>
  </r>
  <r>
    <n v="2026"/>
    <n v="3"/>
    <x v="36"/>
    <n v="1"/>
    <n v="86"/>
    <x v="36"/>
    <n v="44802.95"/>
    <n v="521638.88"/>
    <n v="3399000"/>
  </r>
  <r>
    <n v="2026"/>
    <n v="3"/>
    <x v="37"/>
    <n v="1"/>
    <n v="94"/>
    <x v="37"/>
    <n v="0"/>
    <n v="2576.3200000000002"/>
    <n v="368000"/>
  </r>
  <r>
    <n v="2026"/>
    <n v="3"/>
    <x v="38"/>
    <n v="1"/>
    <n v="108"/>
    <x v="38"/>
    <n v="13986.42"/>
    <n v="89569.72"/>
    <n v="112000"/>
  </r>
  <r>
    <n v="2026"/>
    <n v="3"/>
    <x v="39"/>
    <n v="1"/>
    <n v="120"/>
    <x v="39"/>
    <n v="0"/>
    <n v="0"/>
    <n v="40000"/>
  </r>
  <r>
    <n v="2026"/>
    <n v="3"/>
    <x v="40"/>
    <n v="1"/>
    <n v="350"/>
    <x v="40"/>
    <n v="0"/>
    <n v="0"/>
    <n v="26000"/>
  </r>
  <r>
    <n v="2026"/>
    <n v="3"/>
    <x v="41"/>
    <n v="1"/>
    <n v="1660"/>
    <x v="41"/>
    <n v="628.75"/>
    <n v="15498.31"/>
    <n v="190000"/>
  </r>
  <r>
    <n v="2026"/>
    <n v="3"/>
    <x v="42"/>
    <m/>
    <m/>
    <x v="42"/>
    <n v="28668.5"/>
    <n v="122529.32"/>
    <n v="395000"/>
  </r>
  <r>
    <n v="2026"/>
    <n v="3"/>
    <x v="43"/>
    <n v="3"/>
    <n v="330"/>
    <x v="43"/>
    <n v="28668.5"/>
    <n v="122529.32"/>
    <n v="395000"/>
  </r>
  <r>
    <n v="2026"/>
    <n v="3"/>
    <x v="44"/>
    <m/>
    <m/>
    <x v="44"/>
    <n v="887718.77"/>
    <n v="25821546.899999999"/>
    <n v="34135000"/>
  </r>
  <r>
    <n v="2026"/>
    <n v="3"/>
    <x v="45"/>
    <m/>
    <m/>
    <x v="44"/>
    <n v="887718.77"/>
    <n v="25821546.899999999"/>
    <n v="34135000"/>
  </r>
  <r>
    <n v="2026"/>
    <n v="3"/>
    <x v="46"/>
    <n v="1"/>
    <n v="140"/>
    <x v="45"/>
    <n v="885915.65"/>
    <n v="25811793.059999999"/>
    <n v="34123000"/>
  </r>
  <r>
    <n v="2026"/>
    <n v="3"/>
    <x v="47"/>
    <n v="1"/>
    <n v="116"/>
    <x v="46"/>
    <n v="1803.12"/>
    <n v="9695.1200000000008"/>
    <n v="6000"/>
  </r>
  <r>
    <n v="2026"/>
    <n v="3"/>
    <x v="48"/>
    <n v="1"/>
    <n v="175"/>
    <x v="47"/>
    <n v="0"/>
    <n v="58.72"/>
    <n v="1000"/>
  </r>
  <r>
    <n v="2026"/>
    <n v="3"/>
    <x v="49"/>
    <n v="3"/>
    <n v="2607"/>
    <x v="48"/>
    <n v="0"/>
    <n v="0"/>
    <n v="5000"/>
  </r>
  <r>
    <n v="2026"/>
    <n v="3"/>
    <x v="50"/>
    <m/>
    <m/>
    <x v="49"/>
    <n v="0"/>
    <n v="0"/>
    <n v="2000"/>
  </r>
  <r>
    <n v="2026"/>
    <n v="3"/>
    <x v="51"/>
    <m/>
    <m/>
    <x v="49"/>
    <n v="0"/>
    <n v="0"/>
    <n v="2000"/>
  </r>
  <r>
    <n v="2026"/>
    <n v="3"/>
    <x v="52"/>
    <m/>
    <m/>
    <x v="50"/>
    <n v="0"/>
    <n v="0"/>
    <n v="2000"/>
  </r>
  <r>
    <n v="2026"/>
    <n v="3"/>
    <x v="53"/>
    <n v="1"/>
    <n v="205"/>
    <x v="51"/>
    <n v="0"/>
    <n v="0"/>
    <n v="1000"/>
  </r>
  <r>
    <n v="2026"/>
    <n v="3"/>
    <x v="54"/>
    <n v="1"/>
    <n v="1640"/>
    <x v="52"/>
    <n v="0"/>
    <n v="0"/>
    <n v="1000"/>
  </r>
  <r>
    <n v="2026"/>
    <n v="3"/>
    <x v="55"/>
    <m/>
    <m/>
    <x v="53"/>
    <n v="140596.31"/>
    <n v="6959141"/>
    <n v="37489000"/>
  </r>
  <r>
    <n v="2026"/>
    <n v="3"/>
    <x v="56"/>
    <m/>
    <m/>
    <x v="54"/>
    <n v="140596.31"/>
    <n v="6959141"/>
    <n v="37489000"/>
  </r>
  <r>
    <n v="2026"/>
    <n v="3"/>
    <x v="57"/>
    <m/>
    <m/>
    <x v="54"/>
    <n v="140596.31"/>
    <n v="6959141"/>
    <n v="37489000"/>
  </r>
  <r>
    <n v="2026"/>
    <n v="3"/>
    <x v="58"/>
    <m/>
    <m/>
    <x v="54"/>
    <n v="140596.31"/>
    <n v="6959141"/>
    <n v="37489000"/>
  </r>
  <r>
    <n v="2026"/>
    <n v="3"/>
    <x v="59"/>
    <n v="3"/>
    <n v="2997"/>
    <x v="55"/>
    <n v="140596.31"/>
    <n v="1608733.47"/>
    <n v="4313000"/>
  </r>
  <r>
    <n v="2026"/>
    <n v="3"/>
    <x v="60"/>
    <n v="3"/>
    <n v="2964"/>
    <x v="56"/>
    <n v="0"/>
    <n v="5350407.53"/>
    <n v="33176000"/>
  </r>
  <r>
    <n v="2026"/>
    <n v="3"/>
    <x v="61"/>
    <m/>
    <m/>
    <x v="57"/>
    <n v="115727.34"/>
    <n v="4806903.79"/>
    <n v="32327000"/>
  </r>
  <r>
    <n v="2026"/>
    <n v="3"/>
    <x v="62"/>
    <m/>
    <m/>
    <x v="58"/>
    <n v="115727.34"/>
    <n v="640367.93000000005"/>
    <n v="3959000"/>
  </r>
  <r>
    <n v="2026"/>
    <n v="3"/>
    <x v="63"/>
    <m/>
    <m/>
    <x v="58"/>
    <n v="115727.34"/>
    <n v="640367.93000000005"/>
    <n v="3959000"/>
  </r>
  <r>
    <n v="2026"/>
    <n v="3"/>
    <x v="64"/>
    <m/>
    <m/>
    <x v="59"/>
    <n v="69742.720000000001"/>
    <n v="496721.22"/>
    <n v="3502000"/>
  </r>
  <r>
    <n v="2026"/>
    <n v="3"/>
    <x v="65"/>
    <m/>
    <m/>
    <x v="60"/>
    <n v="16377.68"/>
    <n v="77489.850000000006"/>
    <n v="356000"/>
  </r>
  <r>
    <n v="2026"/>
    <n v="3"/>
    <x v="66"/>
    <n v="1"/>
    <n v="1040"/>
    <x v="61"/>
    <n v="16377.68"/>
    <n v="77489.850000000006"/>
    <n v="356000"/>
  </r>
  <r>
    <n v="2026"/>
    <n v="3"/>
    <x v="67"/>
    <m/>
    <m/>
    <x v="62"/>
    <n v="53365.04"/>
    <n v="419231.37"/>
    <n v="3146000"/>
  </r>
  <r>
    <n v="2026"/>
    <n v="3"/>
    <x v="68"/>
    <n v="1"/>
    <n v="1023"/>
    <x v="63"/>
    <n v="53365.04"/>
    <n v="419231.37"/>
    <n v="3146000"/>
  </r>
  <r>
    <n v="2026"/>
    <n v="3"/>
    <x v="69"/>
    <m/>
    <m/>
    <x v="64"/>
    <n v="45984.62"/>
    <n v="143646.71"/>
    <n v="457000"/>
  </r>
  <r>
    <n v="2026"/>
    <n v="3"/>
    <x v="70"/>
    <n v="1"/>
    <n v="1057"/>
    <x v="65"/>
    <n v="8369.6"/>
    <n v="8369.6"/>
    <n v="29000"/>
  </r>
  <r>
    <n v="2026"/>
    <n v="3"/>
    <x v="71"/>
    <n v="1"/>
    <n v="2165"/>
    <x v="66"/>
    <n v="37615.019999999997"/>
    <n v="129372.43"/>
    <n v="424000"/>
  </r>
  <r>
    <n v="2026"/>
    <n v="3"/>
    <x v="72"/>
    <n v="1"/>
    <n v="2166"/>
    <x v="67"/>
    <n v="0"/>
    <n v="3704.68"/>
    <n v="4000"/>
  </r>
  <r>
    <n v="2026"/>
    <n v="3"/>
    <x v="73"/>
    <n v="1"/>
    <n v="2167"/>
    <x v="68"/>
    <n v="0"/>
    <n v="2200"/>
    <n v="0"/>
  </r>
  <r>
    <n v="2026"/>
    <n v="3"/>
    <x v="74"/>
    <m/>
    <m/>
    <x v="69"/>
    <n v="0"/>
    <n v="4166535.86"/>
    <n v="28368000"/>
  </r>
  <r>
    <n v="2026"/>
    <n v="3"/>
    <x v="75"/>
    <m/>
    <m/>
    <x v="70"/>
    <n v="0"/>
    <n v="4166535.86"/>
    <n v="28349000"/>
  </r>
  <r>
    <n v="2026"/>
    <n v="3"/>
    <x v="76"/>
    <m/>
    <m/>
    <x v="71"/>
    <n v="0"/>
    <n v="4166535.86"/>
    <n v="28349000"/>
  </r>
  <r>
    <n v="2026"/>
    <n v="3"/>
    <x v="77"/>
    <n v="2"/>
    <n v="1912"/>
    <x v="72"/>
    <n v="0"/>
    <n v="527221.09"/>
    <n v="1639000"/>
  </r>
  <r>
    <n v="2026"/>
    <n v="3"/>
    <x v="78"/>
    <n v="1"/>
    <n v="1890"/>
    <x v="73"/>
    <n v="0"/>
    <n v="2384.34"/>
    <n v="310000"/>
  </r>
  <r>
    <n v="2026"/>
    <n v="3"/>
    <x v="79"/>
    <n v="2"/>
    <n v="1780"/>
    <x v="74"/>
    <n v="0"/>
    <n v="131470.29999999999"/>
    <n v="1090000"/>
  </r>
  <r>
    <n v="2026"/>
    <n v="3"/>
    <x v="80"/>
    <n v="5"/>
    <n v="1074"/>
    <x v="75"/>
    <n v="0"/>
    <n v="104014.72"/>
    <n v="0"/>
  </r>
  <r>
    <n v="2026"/>
    <n v="3"/>
    <x v="81"/>
    <n v="1"/>
    <n v="1546"/>
    <x v="76"/>
    <n v="0"/>
    <n v="28548.53"/>
    <n v="762000"/>
  </r>
  <r>
    <n v="2026"/>
    <n v="3"/>
    <x v="82"/>
    <n v="5"/>
    <n v="1750"/>
    <x v="77"/>
    <n v="0"/>
    <n v="29310.35"/>
    <n v="340000"/>
  </r>
  <r>
    <n v="2026"/>
    <n v="3"/>
    <x v="83"/>
    <n v="5"/>
    <n v="1500"/>
    <x v="78"/>
    <n v="0"/>
    <n v="101261.54"/>
    <n v="187000"/>
  </r>
  <r>
    <n v="2026"/>
    <n v="3"/>
    <x v="84"/>
    <n v="1"/>
    <n v="1123"/>
    <x v="79"/>
    <n v="0"/>
    <n v="2012.09"/>
    <n v="16000"/>
  </r>
  <r>
    <n v="2026"/>
    <n v="3"/>
    <x v="85"/>
    <n v="5"/>
    <n v="1730"/>
    <x v="80"/>
    <n v="0"/>
    <n v="6134.31"/>
    <n v="0"/>
  </r>
  <r>
    <n v="2026"/>
    <n v="3"/>
    <x v="86"/>
    <n v="3"/>
    <n v="1913"/>
    <x v="81"/>
    <n v="0"/>
    <n v="65216.84"/>
    <n v="663000"/>
  </r>
  <r>
    <n v="2026"/>
    <n v="3"/>
    <x v="87"/>
    <n v="3"/>
    <n v="1210"/>
    <x v="82"/>
    <n v="0"/>
    <n v="171344.89"/>
    <n v="489000"/>
  </r>
  <r>
    <n v="2026"/>
    <n v="3"/>
    <x v="88"/>
    <n v="3"/>
    <n v="1820"/>
    <x v="83"/>
    <n v="0"/>
    <n v="33259.4"/>
    <n v="155000"/>
  </r>
  <r>
    <n v="2026"/>
    <n v="3"/>
    <x v="89"/>
    <n v="3"/>
    <n v="1134"/>
    <x v="84"/>
    <n v="0"/>
    <n v="46668.89"/>
    <n v="246000"/>
  </r>
  <r>
    <n v="2026"/>
    <n v="3"/>
    <x v="90"/>
    <n v="2"/>
    <n v="1563"/>
    <x v="85"/>
    <n v="0"/>
    <n v="26.62"/>
    <n v="0"/>
  </r>
  <r>
    <n v="2026"/>
    <n v="3"/>
    <x v="91"/>
    <n v="2"/>
    <n v="1731"/>
    <x v="86"/>
    <n v="0"/>
    <n v="568.04"/>
    <n v="8000"/>
  </r>
  <r>
    <n v="2026"/>
    <n v="3"/>
    <x v="92"/>
    <n v="1"/>
    <n v="1121"/>
    <x v="87"/>
    <n v="0"/>
    <n v="57053.77"/>
    <n v="85000"/>
  </r>
  <r>
    <n v="2026"/>
    <n v="3"/>
    <x v="93"/>
    <n v="6"/>
    <n v="1119"/>
    <x v="88"/>
    <n v="0"/>
    <n v="2754.77"/>
    <n v="0"/>
  </r>
  <r>
    <n v="2026"/>
    <n v="3"/>
    <x v="94"/>
    <n v="3"/>
    <n v="1127"/>
    <x v="89"/>
    <n v="0"/>
    <n v="382.18"/>
    <n v="1000"/>
  </r>
  <r>
    <n v="2026"/>
    <n v="3"/>
    <x v="95"/>
    <n v="2"/>
    <n v="1128"/>
    <x v="90"/>
    <n v="0"/>
    <n v="74294.399999999994"/>
    <n v="50000"/>
  </r>
  <r>
    <n v="2026"/>
    <n v="3"/>
    <x v="96"/>
    <n v="3"/>
    <n v="1129"/>
    <x v="91"/>
    <n v="0"/>
    <n v="49720.42"/>
    <n v="553000"/>
  </r>
  <r>
    <n v="2026"/>
    <n v="3"/>
    <x v="97"/>
    <n v="3"/>
    <n v="1130"/>
    <x v="92"/>
    <n v="0"/>
    <n v="99160.98"/>
    <n v="295000"/>
  </r>
  <r>
    <n v="2026"/>
    <n v="3"/>
    <x v="98"/>
    <n v="3"/>
    <n v="1143"/>
    <x v="93"/>
    <n v="0"/>
    <n v="2427.6"/>
    <n v="86000"/>
  </r>
  <r>
    <n v="2026"/>
    <n v="3"/>
    <x v="99"/>
    <n v="5"/>
    <n v="1145"/>
    <x v="94"/>
    <n v="0"/>
    <n v="270.83"/>
    <n v="0"/>
  </r>
  <r>
    <n v="2026"/>
    <n v="3"/>
    <x v="100"/>
    <n v="5"/>
    <n v="1146"/>
    <x v="95"/>
    <n v="0"/>
    <n v="490.78"/>
    <n v="4000"/>
  </r>
  <r>
    <n v="2026"/>
    <n v="3"/>
    <x v="101"/>
    <n v="5"/>
    <n v="1147"/>
    <x v="96"/>
    <n v="0"/>
    <n v="511.79"/>
    <n v="0"/>
  </r>
  <r>
    <n v="2026"/>
    <n v="3"/>
    <x v="102"/>
    <n v="2"/>
    <n v="1148"/>
    <x v="97"/>
    <n v="0"/>
    <n v="644.04"/>
    <n v="0"/>
  </r>
  <r>
    <n v="2026"/>
    <n v="3"/>
    <x v="103"/>
    <n v="3"/>
    <n v="1149"/>
    <x v="98"/>
    <n v="0"/>
    <n v="304.94"/>
    <n v="1000"/>
  </r>
  <r>
    <n v="2026"/>
    <n v="3"/>
    <x v="104"/>
    <n v="5"/>
    <n v="1152"/>
    <x v="99"/>
    <n v="0"/>
    <n v="315.24"/>
    <n v="0"/>
  </r>
  <r>
    <n v="2026"/>
    <n v="3"/>
    <x v="105"/>
    <n v="3"/>
    <n v="1999"/>
    <x v="100"/>
    <n v="0"/>
    <n v="701.14"/>
    <n v="1000"/>
  </r>
  <r>
    <n v="2026"/>
    <n v="3"/>
    <x v="106"/>
    <n v="3"/>
    <n v="1158"/>
    <x v="101"/>
    <n v="0"/>
    <n v="37948.660000000003"/>
    <n v="245000"/>
  </r>
  <r>
    <n v="2026"/>
    <n v="3"/>
    <x v="107"/>
    <n v="1"/>
    <n v="1066"/>
    <x v="102"/>
    <n v="0"/>
    <n v="1220292"/>
    <n v="16278000"/>
  </r>
  <r>
    <n v="2026"/>
    <n v="3"/>
    <x v="108"/>
    <n v="3"/>
    <n v="1112"/>
    <x v="103"/>
    <n v="0"/>
    <n v="72531.81"/>
    <n v="0"/>
  </r>
  <r>
    <n v="2026"/>
    <n v="3"/>
    <x v="109"/>
    <n v="1"/>
    <n v="1117"/>
    <x v="104"/>
    <n v="0"/>
    <n v="113342.31"/>
    <n v="0"/>
  </r>
  <r>
    <n v="2026"/>
    <n v="3"/>
    <x v="110"/>
    <n v="1"/>
    <n v="1118"/>
    <x v="105"/>
    <n v="0"/>
    <n v="2151.9"/>
    <n v="0"/>
  </r>
  <r>
    <n v="2026"/>
    <n v="3"/>
    <x v="111"/>
    <n v="5"/>
    <n v="1125"/>
    <x v="106"/>
    <n v="0"/>
    <n v="160965.63"/>
    <n v="1850000"/>
  </r>
  <r>
    <n v="2026"/>
    <n v="3"/>
    <x v="112"/>
    <n v="3"/>
    <n v="1162"/>
    <x v="107"/>
    <n v="0"/>
    <n v="5956.87"/>
    <n v="13000"/>
  </r>
  <r>
    <n v="2026"/>
    <n v="3"/>
    <x v="113"/>
    <n v="3"/>
    <n v="1169"/>
    <x v="108"/>
    <n v="0"/>
    <n v="1974.6"/>
    <n v="361000"/>
  </r>
  <r>
    <n v="2026"/>
    <n v="3"/>
    <x v="114"/>
    <n v="6"/>
    <n v="1181"/>
    <x v="109"/>
    <n v="0"/>
    <n v="706.94"/>
    <n v="5000"/>
  </r>
  <r>
    <n v="2026"/>
    <n v="3"/>
    <x v="115"/>
    <n v="3"/>
    <n v="1182"/>
    <x v="110"/>
    <n v="0"/>
    <n v="244677.15"/>
    <n v="887000"/>
  </r>
  <r>
    <n v="2026"/>
    <n v="3"/>
    <x v="116"/>
    <n v="6"/>
    <n v="1183"/>
    <x v="111"/>
    <n v="0"/>
    <n v="844.76"/>
    <n v="0"/>
  </r>
  <r>
    <n v="2026"/>
    <n v="3"/>
    <x v="117"/>
    <n v="6"/>
    <n v="1185"/>
    <x v="112"/>
    <n v="0"/>
    <n v="2785.17"/>
    <n v="15000"/>
  </r>
  <r>
    <n v="2026"/>
    <n v="3"/>
    <x v="118"/>
    <n v="6"/>
    <n v="1192"/>
    <x v="113"/>
    <n v="0"/>
    <n v="173.19"/>
    <n v="3000"/>
  </r>
  <r>
    <n v="2026"/>
    <n v="3"/>
    <x v="119"/>
    <n v="1"/>
    <n v="1194"/>
    <x v="114"/>
    <n v="0"/>
    <n v="18353.7"/>
    <n v="22000"/>
  </r>
  <r>
    <n v="2026"/>
    <n v="3"/>
    <x v="120"/>
    <n v="5"/>
    <n v="1197"/>
    <x v="115"/>
    <n v="0"/>
    <n v="1870.09"/>
    <n v="0"/>
  </r>
  <r>
    <n v="2026"/>
    <n v="3"/>
    <x v="121"/>
    <n v="6"/>
    <n v="1215"/>
    <x v="116"/>
    <n v="0"/>
    <n v="344.11"/>
    <n v="0"/>
  </r>
  <r>
    <n v="2026"/>
    <n v="3"/>
    <x v="122"/>
    <n v="6"/>
    <n v="1216"/>
    <x v="117"/>
    <n v="0"/>
    <n v="413.19"/>
    <n v="0"/>
  </r>
  <r>
    <n v="2026"/>
    <n v="3"/>
    <x v="123"/>
    <n v="6"/>
    <n v="1217"/>
    <x v="118"/>
    <n v="0"/>
    <n v="573.01"/>
    <n v="0"/>
  </r>
  <r>
    <n v="2026"/>
    <n v="3"/>
    <x v="124"/>
    <n v="5"/>
    <n v="1223"/>
    <x v="119"/>
    <n v="0"/>
    <n v="19.309999999999999"/>
    <n v="0"/>
  </r>
  <r>
    <n v="2026"/>
    <n v="3"/>
    <x v="125"/>
    <n v="5"/>
    <n v="1224"/>
    <x v="120"/>
    <n v="0"/>
    <n v="11.23"/>
    <n v="0"/>
  </r>
  <r>
    <n v="2026"/>
    <n v="3"/>
    <x v="126"/>
    <n v="3"/>
    <n v="1225"/>
    <x v="121"/>
    <n v="0"/>
    <n v="46065.04"/>
    <n v="171000"/>
  </r>
  <r>
    <n v="2026"/>
    <n v="3"/>
    <x v="127"/>
    <n v="2"/>
    <n v="1245"/>
    <x v="122"/>
    <n v="0"/>
    <n v="1151.1500000000001"/>
    <n v="0"/>
  </r>
  <r>
    <n v="2026"/>
    <n v="3"/>
    <x v="128"/>
    <n v="6"/>
    <n v="1246"/>
    <x v="123"/>
    <n v="0"/>
    <n v="64647.55"/>
    <n v="160000"/>
  </r>
  <r>
    <n v="2026"/>
    <n v="3"/>
    <x v="129"/>
    <n v="2"/>
    <n v="1250"/>
    <x v="124"/>
    <n v="0"/>
    <n v="29.03"/>
    <n v="0"/>
  </r>
  <r>
    <n v="2026"/>
    <n v="3"/>
    <x v="130"/>
    <n v="3"/>
    <n v="1254"/>
    <x v="125"/>
    <n v="0"/>
    <n v="165955.32999999999"/>
    <n v="666000"/>
  </r>
  <r>
    <n v="2026"/>
    <n v="3"/>
    <x v="131"/>
    <n v="2"/>
    <n v="1263"/>
    <x v="126"/>
    <n v="0"/>
    <n v="88.09"/>
    <n v="0"/>
  </r>
  <r>
    <n v="2026"/>
    <n v="3"/>
    <x v="132"/>
    <n v="5"/>
    <n v="1255"/>
    <x v="127"/>
    <n v="0"/>
    <n v="899.73"/>
    <n v="0"/>
  </r>
  <r>
    <n v="2026"/>
    <n v="3"/>
    <x v="133"/>
    <n v="2"/>
    <n v="1264"/>
    <x v="128"/>
    <n v="0"/>
    <n v="4.8499999999999996"/>
    <n v="0"/>
  </r>
  <r>
    <n v="2026"/>
    <n v="3"/>
    <x v="134"/>
    <n v="6"/>
    <n v="1266"/>
    <x v="129"/>
    <n v="0"/>
    <n v="2701.46"/>
    <n v="0"/>
  </r>
  <r>
    <n v="2026"/>
    <n v="3"/>
    <x v="135"/>
    <n v="5"/>
    <n v="1267"/>
    <x v="130"/>
    <n v="0"/>
    <n v="3549.26"/>
    <n v="22000"/>
  </r>
  <r>
    <n v="2026"/>
    <n v="3"/>
    <x v="136"/>
    <n v="1"/>
    <n v="1268"/>
    <x v="131"/>
    <n v="0"/>
    <n v="10612.57"/>
    <n v="57000"/>
  </r>
  <r>
    <n v="2026"/>
    <n v="3"/>
    <x v="137"/>
    <n v="2"/>
    <n v="1270"/>
    <x v="132"/>
    <n v="0"/>
    <n v="285.83"/>
    <n v="0"/>
  </r>
  <r>
    <n v="2026"/>
    <n v="3"/>
    <x v="138"/>
    <n v="2"/>
    <n v="1273"/>
    <x v="133"/>
    <n v="0"/>
    <n v="383.8"/>
    <n v="2000"/>
  </r>
  <r>
    <n v="2026"/>
    <n v="3"/>
    <x v="139"/>
    <n v="2"/>
    <n v="1274"/>
    <x v="134"/>
    <n v="0"/>
    <n v="11923.59"/>
    <n v="182000"/>
  </r>
  <r>
    <n v="2026"/>
    <n v="3"/>
    <x v="140"/>
    <n v="2"/>
    <n v="1012"/>
    <x v="135"/>
    <n v="0"/>
    <n v="1523.67"/>
    <n v="0"/>
  </r>
  <r>
    <n v="2026"/>
    <n v="3"/>
    <x v="141"/>
    <n v="2"/>
    <n v="1013"/>
    <x v="136"/>
    <n v="0"/>
    <n v="9.7200000000000006"/>
    <n v="0"/>
  </r>
  <r>
    <n v="2026"/>
    <n v="3"/>
    <x v="142"/>
    <n v="5"/>
    <n v="1256"/>
    <x v="137"/>
    <n v="0"/>
    <n v="1706.31"/>
    <n v="0"/>
  </r>
  <r>
    <n v="2026"/>
    <n v="3"/>
    <x v="143"/>
    <n v="2"/>
    <n v="1283"/>
    <x v="138"/>
    <n v="0"/>
    <n v="43.93"/>
    <n v="0"/>
  </r>
  <r>
    <n v="2026"/>
    <n v="3"/>
    <x v="144"/>
    <n v="2"/>
    <n v="1284"/>
    <x v="139"/>
    <n v="0"/>
    <n v="616.39"/>
    <n v="0"/>
  </r>
  <r>
    <n v="2026"/>
    <n v="3"/>
    <x v="145"/>
    <n v="1"/>
    <n v="1286"/>
    <x v="140"/>
    <n v="0"/>
    <n v="1605.28"/>
    <n v="0"/>
  </r>
  <r>
    <n v="2026"/>
    <n v="3"/>
    <x v="146"/>
    <n v="5"/>
    <n v="1000"/>
    <x v="141"/>
    <n v="0"/>
    <n v="128.29"/>
    <n v="0"/>
  </r>
  <r>
    <n v="2026"/>
    <n v="3"/>
    <x v="147"/>
    <n v="5"/>
    <n v="1001"/>
    <x v="142"/>
    <n v="0"/>
    <n v="5621.66"/>
    <n v="0"/>
  </r>
  <r>
    <n v="2026"/>
    <n v="3"/>
    <x v="148"/>
    <n v="6"/>
    <n v="1017"/>
    <x v="143"/>
    <n v="0"/>
    <n v="6573.67"/>
    <n v="0"/>
  </r>
  <r>
    <n v="2026"/>
    <n v="3"/>
    <x v="149"/>
    <n v="5"/>
    <n v="1004"/>
    <x v="144"/>
    <n v="0"/>
    <n v="1730.32"/>
    <n v="0"/>
  </r>
  <r>
    <n v="2026"/>
    <n v="3"/>
    <x v="150"/>
    <n v="5"/>
    <n v="1007"/>
    <x v="145"/>
    <n v="0"/>
    <n v="25518.560000000001"/>
    <n v="90000"/>
  </r>
  <r>
    <n v="2026"/>
    <n v="3"/>
    <x v="151"/>
    <n v="5"/>
    <n v="1008"/>
    <x v="146"/>
    <n v="0"/>
    <n v="5114.7700000000004"/>
    <n v="0"/>
  </r>
  <r>
    <n v="2026"/>
    <n v="3"/>
    <x v="152"/>
    <n v="5"/>
    <n v="1019"/>
    <x v="147"/>
    <n v="0"/>
    <n v="15.98"/>
    <n v="0"/>
  </r>
  <r>
    <n v="2026"/>
    <n v="3"/>
    <x v="153"/>
    <n v="2"/>
    <n v="1021"/>
    <x v="148"/>
    <n v="0"/>
    <n v="0.01"/>
    <n v="0"/>
  </r>
  <r>
    <n v="2026"/>
    <n v="3"/>
    <x v="154"/>
    <n v="5"/>
    <n v="1022"/>
    <x v="149"/>
    <n v="0"/>
    <n v="307.97000000000003"/>
    <n v="0"/>
  </r>
  <r>
    <n v="2026"/>
    <n v="3"/>
    <x v="155"/>
    <n v="2"/>
    <n v="1024"/>
    <x v="150"/>
    <n v="0"/>
    <n v="2070.85"/>
    <n v="0"/>
  </r>
  <r>
    <n v="2026"/>
    <n v="3"/>
    <x v="156"/>
    <n v="2"/>
    <n v="1025"/>
    <x v="151"/>
    <n v="0"/>
    <n v="4342.4399999999996"/>
    <n v="0"/>
  </r>
  <r>
    <n v="2026"/>
    <n v="3"/>
    <x v="157"/>
    <n v="2"/>
    <n v="1026"/>
    <x v="152"/>
    <n v="0"/>
    <n v="7.42"/>
    <n v="0"/>
  </r>
  <r>
    <n v="2026"/>
    <n v="3"/>
    <x v="158"/>
    <n v="2"/>
    <n v="1032"/>
    <x v="153"/>
    <n v="0"/>
    <n v="837.46"/>
    <n v="9000"/>
  </r>
  <r>
    <n v="2026"/>
    <n v="3"/>
    <x v="159"/>
    <n v="2"/>
    <n v="1257"/>
    <x v="154"/>
    <n v="0"/>
    <n v="7094"/>
    <n v="0"/>
  </r>
  <r>
    <n v="2026"/>
    <n v="3"/>
    <x v="160"/>
    <n v="2"/>
    <n v="1918"/>
    <x v="155"/>
    <n v="0"/>
    <n v="1077.8399999999999"/>
    <n v="0"/>
  </r>
  <r>
    <n v="2026"/>
    <n v="3"/>
    <x v="161"/>
    <n v="5"/>
    <n v="1921"/>
    <x v="156"/>
    <n v="0"/>
    <n v="343.35"/>
    <n v="0"/>
  </r>
  <r>
    <n v="2026"/>
    <n v="3"/>
    <x v="162"/>
    <n v="5"/>
    <n v="1924"/>
    <x v="157"/>
    <n v="0"/>
    <n v="279.32"/>
    <n v="0"/>
  </r>
  <r>
    <n v="2026"/>
    <n v="3"/>
    <x v="163"/>
    <n v="1"/>
    <n v="1925"/>
    <x v="158"/>
    <n v="0"/>
    <n v="221.82"/>
    <n v="0"/>
  </r>
  <r>
    <n v="2026"/>
    <n v="3"/>
    <x v="164"/>
    <n v="2"/>
    <n v="1927"/>
    <x v="159"/>
    <n v="0"/>
    <n v="398.38"/>
    <n v="0"/>
  </r>
  <r>
    <n v="2026"/>
    <n v="3"/>
    <x v="165"/>
    <n v="5"/>
    <n v="1928"/>
    <x v="160"/>
    <n v="0"/>
    <n v="1252.06"/>
    <n v="0"/>
  </r>
  <r>
    <n v="2026"/>
    <n v="3"/>
    <x v="166"/>
    <n v="5"/>
    <n v="1929"/>
    <x v="161"/>
    <n v="0"/>
    <n v="164.47"/>
    <n v="0"/>
  </r>
  <r>
    <n v="2026"/>
    <n v="3"/>
    <x v="167"/>
    <n v="2"/>
    <n v="1930"/>
    <x v="162"/>
    <n v="0"/>
    <n v="486.51"/>
    <n v="0"/>
  </r>
  <r>
    <n v="2026"/>
    <n v="3"/>
    <x v="168"/>
    <n v="2"/>
    <n v="1931"/>
    <x v="163"/>
    <n v="0"/>
    <n v="843.53"/>
    <n v="0"/>
  </r>
  <r>
    <n v="2026"/>
    <n v="3"/>
    <x v="169"/>
    <n v="2"/>
    <n v="1932"/>
    <x v="164"/>
    <n v="0"/>
    <n v="393.99"/>
    <n v="0"/>
  </r>
  <r>
    <n v="2026"/>
    <n v="3"/>
    <x v="170"/>
    <n v="2"/>
    <n v="1933"/>
    <x v="165"/>
    <n v="0"/>
    <n v="54.38"/>
    <n v="0"/>
  </r>
  <r>
    <n v="2026"/>
    <n v="3"/>
    <x v="171"/>
    <n v="3"/>
    <n v="1934"/>
    <x v="166"/>
    <n v="0"/>
    <n v="5130.7299999999996"/>
    <n v="20000"/>
  </r>
  <r>
    <n v="2026"/>
    <n v="3"/>
    <x v="172"/>
    <n v="5"/>
    <n v="1935"/>
    <x v="167"/>
    <n v="0"/>
    <n v="14378.4"/>
    <n v="0"/>
  </r>
  <r>
    <n v="2026"/>
    <n v="3"/>
    <x v="173"/>
    <n v="5"/>
    <n v="1936"/>
    <x v="168"/>
    <n v="0"/>
    <n v="9018.6299999999992"/>
    <n v="0"/>
  </r>
  <r>
    <n v="2026"/>
    <n v="3"/>
    <x v="174"/>
    <n v="5"/>
    <n v="1937"/>
    <x v="169"/>
    <n v="0"/>
    <n v="1408.29"/>
    <n v="0"/>
  </r>
  <r>
    <n v="2026"/>
    <n v="3"/>
    <x v="175"/>
    <n v="3"/>
    <n v="1939"/>
    <x v="170"/>
    <n v="0"/>
    <n v="3170.5"/>
    <n v="0"/>
  </r>
  <r>
    <n v="2026"/>
    <n v="3"/>
    <x v="176"/>
    <n v="5"/>
    <n v="5001"/>
    <x v="171"/>
    <n v="0"/>
    <n v="347.72"/>
    <n v="0"/>
  </r>
  <r>
    <n v="2026"/>
    <n v="3"/>
    <x v="177"/>
    <n v="5"/>
    <n v="5003"/>
    <x v="172"/>
    <n v="0"/>
    <n v="384.87"/>
    <n v="0"/>
  </r>
  <r>
    <n v="2026"/>
    <n v="3"/>
    <x v="178"/>
    <n v="6"/>
    <n v="1941"/>
    <x v="173"/>
    <n v="0"/>
    <n v="10.23"/>
    <n v="0"/>
  </r>
  <r>
    <n v="2026"/>
    <n v="3"/>
    <x v="179"/>
    <n v="5"/>
    <n v="1949"/>
    <x v="174"/>
    <n v="0"/>
    <n v="1896.29"/>
    <n v="0"/>
  </r>
  <r>
    <n v="2026"/>
    <n v="3"/>
    <x v="180"/>
    <n v="5"/>
    <n v="5004"/>
    <x v="175"/>
    <n v="0"/>
    <n v="3412.23"/>
    <n v="0"/>
  </r>
  <r>
    <n v="2026"/>
    <n v="3"/>
    <x v="181"/>
    <n v="2"/>
    <n v="5005"/>
    <x v="176"/>
    <n v="0"/>
    <n v="886.65"/>
    <n v="0"/>
  </r>
  <r>
    <n v="2026"/>
    <n v="3"/>
    <x v="182"/>
    <n v="5"/>
    <n v="5006"/>
    <x v="177"/>
    <n v="0"/>
    <n v="8897.23"/>
    <n v="0"/>
  </r>
  <r>
    <n v="2026"/>
    <n v="3"/>
    <x v="183"/>
    <n v="6"/>
    <n v="1945"/>
    <x v="178"/>
    <n v="0"/>
    <n v="124404.13"/>
    <n v="0"/>
  </r>
  <r>
    <n v="2026"/>
    <n v="3"/>
    <x v="184"/>
    <n v="3"/>
    <n v="1951"/>
    <x v="179"/>
    <n v="0"/>
    <n v="38561.120000000003"/>
    <n v="250000"/>
  </r>
  <r>
    <n v="2026"/>
    <n v="3"/>
    <x v="185"/>
    <n v="5"/>
    <n v="5008"/>
    <x v="180"/>
    <n v="0"/>
    <n v="116.36"/>
    <n v="0"/>
  </r>
  <r>
    <n v="2026"/>
    <n v="3"/>
    <x v="186"/>
    <n v="5"/>
    <n v="5009"/>
    <x v="181"/>
    <n v="0"/>
    <n v="174.54"/>
    <n v="0"/>
  </r>
  <r>
    <n v="2026"/>
    <n v="3"/>
    <x v="187"/>
    <n v="5"/>
    <n v="5010"/>
    <x v="182"/>
    <n v="0"/>
    <n v="110.3"/>
    <n v="0"/>
  </r>
  <r>
    <n v="2026"/>
    <n v="3"/>
    <x v="188"/>
    <n v="5"/>
    <n v="5013"/>
    <x v="183"/>
    <n v="0"/>
    <n v="124.62"/>
    <n v="0"/>
  </r>
  <r>
    <n v="2026"/>
    <n v="3"/>
    <x v="189"/>
    <n v="5"/>
    <n v="5014"/>
    <x v="184"/>
    <n v="0"/>
    <n v="49.85"/>
    <n v="0"/>
  </r>
  <r>
    <n v="2026"/>
    <n v="3"/>
    <x v="190"/>
    <n v="5"/>
    <n v="5015"/>
    <x v="185"/>
    <n v="0"/>
    <n v="93.31"/>
    <n v="0"/>
  </r>
  <r>
    <n v="2026"/>
    <n v="3"/>
    <x v="191"/>
    <n v="5"/>
    <n v="5016"/>
    <x v="186"/>
    <n v="0"/>
    <n v="3511.05"/>
    <n v="0"/>
  </r>
  <r>
    <n v="2026"/>
    <n v="3"/>
    <x v="192"/>
    <n v="5"/>
    <n v="5017"/>
    <x v="187"/>
    <n v="0"/>
    <n v="5015.79"/>
    <n v="0"/>
  </r>
  <r>
    <n v="2026"/>
    <n v="3"/>
    <x v="193"/>
    <n v="5"/>
    <n v="5018"/>
    <x v="188"/>
    <n v="0"/>
    <n v="1731.96"/>
    <n v="0"/>
  </r>
  <r>
    <n v="2026"/>
    <n v="3"/>
    <x v="194"/>
    <n v="5"/>
    <n v="5019"/>
    <x v="189"/>
    <n v="0"/>
    <n v="987.57"/>
    <n v="0"/>
  </r>
  <r>
    <n v="2026"/>
    <n v="3"/>
    <x v="195"/>
    <n v="5"/>
    <n v="5020"/>
    <x v="190"/>
    <n v="0"/>
    <n v="1975.16"/>
    <n v="0"/>
  </r>
  <r>
    <n v="2026"/>
    <n v="3"/>
    <x v="196"/>
    <n v="5"/>
    <n v="5021"/>
    <x v="191"/>
    <n v="0"/>
    <n v="1975.16"/>
    <n v="0"/>
  </r>
  <r>
    <n v="2026"/>
    <n v="3"/>
    <x v="197"/>
    <n v="5"/>
    <n v="5022"/>
    <x v="192"/>
    <n v="0"/>
    <n v="0.21"/>
    <n v="0"/>
  </r>
  <r>
    <n v="2026"/>
    <n v="3"/>
    <x v="198"/>
    <n v="2"/>
    <n v="1958"/>
    <x v="193"/>
    <n v="0"/>
    <n v="4303.5600000000004"/>
    <n v="0"/>
  </r>
  <r>
    <n v="2026"/>
    <n v="3"/>
    <x v="199"/>
    <n v="5"/>
    <n v="5023"/>
    <x v="194"/>
    <n v="0"/>
    <n v="1704.67"/>
    <n v="0"/>
  </r>
  <r>
    <n v="2026"/>
    <n v="3"/>
    <x v="200"/>
    <n v="5"/>
    <n v="5024"/>
    <x v="195"/>
    <n v="0"/>
    <n v="1694.46"/>
    <n v="0"/>
  </r>
  <r>
    <n v="2026"/>
    <n v="3"/>
    <x v="201"/>
    <n v="5"/>
    <n v="5025"/>
    <x v="196"/>
    <n v="0"/>
    <n v="16775.21"/>
    <n v="0"/>
  </r>
  <r>
    <n v="2026"/>
    <n v="3"/>
    <x v="202"/>
    <n v="2"/>
    <n v="5026"/>
    <x v="197"/>
    <n v="0"/>
    <n v="17101.740000000002"/>
    <n v="0"/>
  </r>
  <r>
    <n v="2026"/>
    <n v="3"/>
    <x v="203"/>
    <n v="5"/>
    <n v="5027"/>
    <x v="198"/>
    <n v="0"/>
    <n v="5094.29"/>
    <n v="0"/>
  </r>
  <r>
    <n v="2026"/>
    <n v="3"/>
    <x v="204"/>
    <n v="5"/>
    <n v="5028"/>
    <x v="199"/>
    <n v="0"/>
    <n v="2547.15"/>
    <n v="0"/>
  </r>
  <r>
    <n v="2026"/>
    <n v="3"/>
    <x v="205"/>
    <n v="5"/>
    <n v="1956"/>
    <x v="200"/>
    <n v="0"/>
    <n v="560.88"/>
    <n v="0"/>
  </r>
  <r>
    <n v="2026"/>
    <n v="3"/>
    <x v="206"/>
    <n v="5"/>
    <n v="1957"/>
    <x v="201"/>
    <n v="0"/>
    <n v="74020.17"/>
    <n v="0"/>
  </r>
  <r>
    <n v="2026"/>
    <n v="3"/>
    <x v="207"/>
    <n v="5"/>
    <n v="1954"/>
    <x v="202"/>
    <n v="0"/>
    <n v="3201.42"/>
    <n v="20000"/>
  </r>
  <r>
    <n v="2026"/>
    <n v="3"/>
    <x v="208"/>
    <n v="5"/>
    <n v="1955"/>
    <x v="203"/>
    <n v="0"/>
    <n v="8657.77"/>
    <n v="40000"/>
  </r>
  <r>
    <n v="2026"/>
    <n v="3"/>
    <x v="209"/>
    <n v="1"/>
    <n v="1959"/>
    <x v="204"/>
    <n v="0"/>
    <n v="9.5500000000000007"/>
    <n v="0"/>
  </r>
  <r>
    <n v="2026"/>
    <n v="3"/>
    <x v="210"/>
    <m/>
    <m/>
    <x v="205"/>
    <n v="0"/>
    <n v="0"/>
    <n v="19000"/>
  </r>
  <r>
    <n v="2026"/>
    <n v="3"/>
    <x v="211"/>
    <m/>
    <m/>
    <x v="205"/>
    <n v="0"/>
    <n v="0"/>
    <n v="19000"/>
  </r>
  <r>
    <n v="2026"/>
    <n v="3"/>
    <x v="212"/>
    <n v="1"/>
    <n v="1058"/>
    <x v="206"/>
    <n v="0"/>
    <n v="0"/>
    <n v="19000"/>
  </r>
  <r>
    <n v="2026"/>
    <n v="3"/>
    <x v="213"/>
    <m/>
    <m/>
    <x v="207"/>
    <n v="95336470.739999995"/>
    <n v="608813729.71000004"/>
    <n v="2960867000"/>
  </r>
  <r>
    <n v="2026"/>
    <n v="3"/>
    <x v="214"/>
    <m/>
    <m/>
    <x v="208"/>
    <n v="12891625.810000001"/>
    <n v="88606987.120000005"/>
    <n v="461560000"/>
  </r>
  <r>
    <n v="2026"/>
    <n v="3"/>
    <x v="215"/>
    <m/>
    <m/>
    <x v="209"/>
    <n v="0"/>
    <n v="29562228.620000001"/>
    <n v="168114000"/>
  </r>
  <r>
    <n v="2026"/>
    <n v="3"/>
    <x v="216"/>
    <m/>
    <m/>
    <x v="210"/>
    <n v="0"/>
    <n v="29544384.460000001"/>
    <n v="167629000"/>
  </r>
  <r>
    <n v="2026"/>
    <n v="3"/>
    <x v="217"/>
    <m/>
    <m/>
    <x v="211"/>
    <n v="0"/>
    <n v="29544384.460000001"/>
    <n v="148909000"/>
  </r>
  <r>
    <n v="2026"/>
    <n v="3"/>
    <x v="218"/>
    <n v="1"/>
    <n v="1163"/>
    <x v="212"/>
    <n v="0"/>
    <n v="29544384.460000001"/>
    <n v="148909000"/>
  </r>
  <r>
    <n v="2026"/>
    <n v="3"/>
    <x v="219"/>
    <m/>
    <m/>
    <x v="213"/>
    <n v="0"/>
    <n v="0"/>
    <n v="18720000"/>
  </r>
  <r>
    <n v="2026"/>
    <n v="3"/>
    <x v="220"/>
    <n v="1"/>
    <n v="2962"/>
    <x v="214"/>
    <n v="0"/>
    <n v="0"/>
    <n v="6505000"/>
  </r>
  <r>
    <n v="2026"/>
    <n v="3"/>
    <x v="221"/>
    <n v="1"/>
    <n v="2961"/>
    <x v="215"/>
    <n v="0"/>
    <n v="0"/>
    <n v="6362000"/>
  </r>
  <r>
    <n v="2026"/>
    <n v="3"/>
    <x v="222"/>
    <n v="1"/>
    <n v="2013"/>
    <x v="216"/>
    <n v="0"/>
    <n v="0"/>
    <n v="5853000"/>
  </r>
  <r>
    <n v="2026"/>
    <n v="3"/>
    <x v="223"/>
    <m/>
    <m/>
    <x v="217"/>
    <n v="0"/>
    <n v="17844.16"/>
    <n v="485000"/>
  </r>
  <r>
    <n v="2026"/>
    <n v="3"/>
    <x v="224"/>
    <n v="1"/>
    <n v="1198"/>
    <x v="218"/>
    <n v="0"/>
    <n v="17844.16"/>
    <n v="485000"/>
  </r>
  <r>
    <n v="2026"/>
    <n v="3"/>
    <x v="225"/>
    <m/>
    <m/>
    <x v="219"/>
    <n v="174804.85"/>
    <n v="1873702.79"/>
    <n v="18165000"/>
  </r>
  <r>
    <n v="2026"/>
    <n v="3"/>
    <x v="226"/>
    <m/>
    <m/>
    <x v="220"/>
    <n v="0"/>
    <n v="19448.169999999998"/>
    <n v="315000"/>
  </r>
  <r>
    <n v="2026"/>
    <n v="3"/>
    <x v="227"/>
    <n v="1"/>
    <n v="1171"/>
    <x v="221"/>
    <n v="0"/>
    <n v="19448.169999999998"/>
    <n v="315000"/>
  </r>
  <r>
    <n v="2026"/>
    <n v="3"/>
    <x v="228"/>
    <m/>
    <m/>
    <x v="222"/>
    <n v="0"/>
    <n v="99071.32"/>
    <n v="684000"/>
  </r>
  <r>
    <n v="2026"/>
    <n v="3"/>
    <x v="229"/>
    <n v="1"/>
    <n v="2275"/>
    <x v="223"/>
    <n v="0"/>
    <n v="99071.32"/>
    <n v="684000"/>
  </r>
  <r>
    <n v="2026"/>
    <n v="3"/>
    <x v="230"/>
    <m/>
    <m/>
    <x v="224"/>
    <n v="174804.85"/>
    <n v="1755183.3"/>
    <n v="17166000"/>
  </r>
  <r>
    <n v="2026"/>
    <n v="3"/>
    <x v="231"/>
    <m/>
    <m/>
    <x v="225"/>
    <n v="174804.85"/>
    <n v="1337851.92"/>
    <n v="13602000"/>
  </r>
  <r>
    <n v="2026"/>
    <n v="3"/>
    <x v="232"/>
    <n v="1"/>
    <n v="1201"/>
    <x v="226"/>
    <n v="174804.85"/>
    <n v="1337851.92"/>
    <n v="13602000"/>
  </r>
  <r>
    <n v="2026"/>
    <n v="3"/>
    <x v="233"/>
    <m/>
    <m/>
    <x v="227"/>
    <n v="0"/>
    <n v="15531.34"/>
    <n v="450000"/>
  </r>
  <r>
    <n v="2026"/>
    <n v="3"/>
    <x v="234"/>
    <n v="1"/>
    <n v="1202"/>
    <x v="228"/>
    <n v="0"/>
    <n v="15531.34"/>
    <n v="450000"/>
  </r>
  <r>
    <n v="2026"/>
    <n v="3"/>
    <x v="235"/>
    <m/>
    <m/>
    <x v="229"/>
    <n v="0"/>
    <n v="401800.04"/>
    <n v="3114000"/>
  </r>
  <r>
    <n v="2026"/>
    <n v="3"/>
    <x v="236"/>
    <n v="1"/>
    <n v="1203"/>
    <x v="230"/>
    <n v="0"/>
    <n v="401800.04"/>
    <n v="3114000"/>
  </r>
  <r>
    <n v="2026"/>
    <n v="3"/>
    <x v="237"/>
    <m/>
    <m/>
    <x v="231"/>
    <n v="12349873.439999999"/>
    <n v="44332451.240000002"/>
    <n v="211046000"/>
  </r>
  <r>
    <n v="2026"/>
    <n v="3"/>
    <x v="238"/>
    <m/>
    <m/>
    <x v="232"/>
    <n v="12349873.439999999"/>
    <n v="44332451.240000002"/>
    <n v="211046000"/>
  </r>
  <r>
    <n v="2026"/>
    <n v="3"/>
    <x v="239"/>
    <m/>
    <m/>
    <x v="233"/>
    <n v="1920.12"/>
    <n v="6390775.8399999999"/>
    <n v="41850000"/>
  </r>
  <r>
    <n v="2026"/>
    <n v="3"/>
    <x v="240"/>
    <n v="5"/>
    <n v="1420"/>
    <x v="234"/>
    <n v="1920.12"/>
    <n v="4954569.84"/>
    <n v="32150000"/>
  </r>
  <r>
    <n v="2026"/>
    <n v="3"/>
    <x v="241"/>
    <n v="5"/>
    <n v="2003"/>
    <x v="235"/>
    <n v="0"/>
    <n v="1436206"/>
    <n v="9700000"/>
  </r>
  <r>
    <n v="2026"/>
    <n v="3"/>
    <x v="242"/>
    <m/>
    <m/>
    <x v="236"/>
    <n v="10994184.08"/>
    <n v="33593175.969999999"/>
    <n v="146239000"/>
  </r>
  <r>
    <n v="2026"/>
    <n v="3"/>
    <x v="243"/>
    <n v="5"/>
    <n v="1406"/>
    <x v="237"/>
    <n v="10994184.08"/>
    <n v="33593175.969999999"/>
    <n v="146239000"/>
  </r>
  <r>
    <n v="2026"/>
    <n v="3"/>
    <x v="244"/>
    <m/>
    <m/>
    <x v="238"/>
    <n v="965082.02"/>
    <n v="2528804.4500000002"/>
    <n v="10806000"/>
  </r>
  <r>
    <n v="2026"/>
    <n v="3"/>
    <x v="245"/>
    <n v="5"/>
    <n v="1350"/>
    <x v="239"/>
    <n v="371796.02"/>
    <n v="678672.36"/>
    <n v="2302000"/>
  </r>
  <r>
    <n v="2026"/>
    <n v="3"/>
    <x v="246"/>
    <n v="5"/>
    <n v="1341"/>
    <x v="240"/>
    <n v="0"/>
    <n v="70274.09"/>
    <n v="844000"/>
  </r>
  <r>
    <n v="2026"/>
    <n v="3"/>
    <x v="247"/>
    <n v="5"/>
    <n v="2002"/>
    <x v="241"/>
    <n v="593286"/>
    <n v="1779858"/>
    <n v="7660000"/>
  </r>
  <r>
    <n v="2026"/>
    <n v="3"/>
    <x v="248"/>
    <m/>
    <m/>
    <x v="242"/>
    <n v="0"/>
    <n v="1038132.03"/>
    <n v="5716000"/>
  </r>
  <r>
    <n v="2026"/>
    <n v="3"/>
    <x v="249"/>
    <n v="5"/>
    <n v="1376"/>
    <x v="243"/>
    <n v="0"/>
    <n v="1038132.03"/>
    <n v="5716000"/>
  </r>
  <r>
    <n v="2026"/>
    <n v="3"/>
    <x v="250"/>
    <m/>
    <m/>
    <x v="244"/>
    <n v="388687.22"/>
    <n v="781562.95"/>
    <n v="6435000"/>
  </r>
  <r>
    <n v="2026"/>
    <n v="3"/>
    <x v="251"/>
    <n v="5"/>
    <n v="2010"/>
    <x v="245"/>
    <n v="388687.22"/>
    <n v="781562.95"/>
    <n v="6435000"/>
  </r>
  <r>
    <n v="2026"/>
    <n v="3"/>
    <x v="252"/>
    <m/>
    <m/>
    <x v="246"/>
    <n v="0"/>
    <n v="10893603.35"/>
    <n v="55067000"/>
  </r>
  <r>
    <n v="2026"/>
    <n v="3"/>
    <x v="253"/>
    <m/>
    <m/>
    <x v="247"/>
    <n v="0"/>
    <n v="8951643"/>
    <n v="40940000"/>
  </r>
  <r>
    <n v="2026"/>
    <n v="3"/>
    <x v="254"/>
    <n v="5"/>
    <n v="1260"/>
    <x v="248"/>
    <n v="0"/>
    <n v="8951643"/>
    <n v="40940000"/>
  </r>
  <r>
    <n v="2026"/>
    <n v="3"/>
    <x v="255"/>
    <m/>
    <m/>
    <x v="249"/>
    <n v="0"/>
    <n v="1941960.35"/>
    <n v="13530000"/>
  </r>
  <r>
    <n v="2026"/>
    <n v="3"/>
    <x v="256"/>
    <n v="5"/>
    <n v="2731"/>
    <x v="250"/>
    <n v="0"/>
    <n v="365879"/>
    <n v="3043000"/>
  </r>
  <r>
    <n v="2026"/>
    <n v="3"/>
    <x v="257"/>
    <n v="5"/>
    <n v="2732"/>
    <x v="251"/>
    <n v="0"/>
    <n v="70843.5"/>
    <n v="513000"/>
  </r>
  <r>
    <n v="2026"/>
    <n v="3"/>
    <x v="258"/>
    <n v="5"/>
    <n v="2733"/>
    <x v="252"/>
    <n v="0"/>
    <n v="621327.5"/>
    <n v="5126000"/>
  </r>
  <r>
    <n v="2026"/>
    <n v="3"/>
    <x v="259"/>
    <n v="5"/>
    <n v="2734"/>
    <x v="253"/>
    <n v="0"/>
    <n v="856108.5"/>
    <n v="4680000"/>
  </r>
  <r>
    <n v="2026"/>
    <n v="3"/>
    <x v="260"/>
    <n v="5"/>
    <n v="2735"/>
    <x v="254"/>
    <n v="0"/>
    <n v="9811.1"/>
    <n v="88000"/>
  </r>
  <r>
    <n v="2026"/>
    <n v="3"/>
    <x v="261"/>
    <n v="5"/>
    <n v="2736"/>
    <x v="255"/>
    <n v="0"/>
    <n v="11239.75"/>
    <n v="80000"/>
  </r>
  <r>
    <n v="2026"/>
    <n v="3"/>
    <x v="262"/>
    <n v="5"/>
    <n v="2737"/>
    <x v="256"/>
    <n v="0"/>
    <n v="6751"/>
    <n v="0"/>
  </r>
  <r>
    <n v="2026"/>
    <n v="3"/>
    <x v="263"/>
    <m/>
    <m/>
    <x v="257"/>
    <n v="0"/>
    <n v="0"/>
    <n v="597000"/>
  </r>
  <r>
    <n v="2026"/>
    <n v="3"/>
    <x v="264"/>
    <n v="5"/>
    <n v="2740"/>
    <x v="258"/>
    <n v="0"/>
    <n v="0"/>
    <n v="597000"/>
  </r>
  <r>
    <n v="2026"/>
    <n v="3"/>
    <x v="265"/>
    <m/>
    <m/>
    <x v="259"/>
    <n v="0"/>
    <n v="583116.64"/>
    <n v="0"/>
  </r>
  <r>
    <n v="2026"/>
    <n v="3"/>
    <x v="266"/>
    <m/>
    <m/>
    <x v="260"/>
    <n v="0"/>
    <n v="583116.64"/>
    <n v="0"/>
  </r>
  <r>
    <n v="2026"/>
    <n v="3"/>
    <x v="267"/>
    <m/>
    <m/>
    <x v="261"/>
    <n v="0"/>
    <n v="583116.64"/>
    <n v="0"/>
  </r>
  <r>
    <n v="2026"/>
    <n v="3"/>
    <x v="268"/>
    <n v="5"/>
    <n v="2027"/>
    <x v="262"/>
    <n v="0"/>
    <n v="583116.64"/>
    <n v="0"/>
  </r>
  <r>
    <n v="2026"/>
    <n v="3"/>
    <x v="269"/>
    <m/>
    <m/>
    <x v="263"/>
    <n v="366947.52"/>
    <n v="757850.36"/>
    <n v="4632000"/>
  </r>
  <r>
    <n v="2026"/>
    <n v="3"/>
    <x v="270"/>
    <m/>
    <m/>
    <x v="264"/>
    <n v="366947.52"/>
    <n v="757850.36"/>
    <n v="4632000"/>
  </r>
  <r>
    <n v="2026"/>
    <n v="3"/>
    <x v="271"/>
    <n v="5"/>
    <n v="2181"/>
    <x v="265"/>
    <n v="165028.87"/>
    <n v="354007.45"/>
    <n v="1884000"/>
  </r>
  <r>
    <n v="2026"/>
    <n v="3"/>
    <x v="272"/>
    <n v="5"/>
    <n v="2184"/>
    <x v="266"/>
    <n v="131639.92000000001"/>
    <n v="263282.52"/>
    <n v="1824000"/>
  </r>
  <r>
    <n v="2026"/>
    <n v="3"/>
    <x v="273"/>
    <n v="5"/>
    <n v="2183"/>
    <x v="267"/>
    <n v="70278.73"/>
    <n v="140560.39000000001"/>
    <n v="924000"/>
  </r>
  <r>
    <n v="2026"/>
    <n v="3"/>
    <x v="274"/>
    <m/>
    <m/>
    <x v="268"/>
    <n v="0"/>
    <n v="0"/>
    <n v="537000"/>
  </r>
  <r>
    <n v="2026"/>
    <n v="3"/>
    <x v="275"/>
    <m/>
    <m/>
    <x v="269"/>
    <n v="0"/>
    <n v="0"/>
    <n v="537000"/>
  </r>
  <r>
    <n v="2026"/>
    <n v="3"/>
    <x v="276"/>
    <n v="5"/>
    <n v="2057"/>
    <x v="270"/>
    <n v="0"/>
    <n v="0"/>
    <n v="537000"/>
  </r>
  <r>
    <n v="2026"/>
    <n v="3"/>
    <x v="277"/>
    <m/>
    <m/>
    <x v="269"/>
    <n v="0"/>
    <n v="604034.12"/>
    <n v="3999000"/>
  </r>
  <r>
    <n v="2026"/>
    <n v="3"/>
    <x v="278"/>
    <m/>
    <m/>
    <x v="271"/>
    <n v="0"/>
    <n v="604034.12"/>
    <n v="3999000"/>
  </r>
  <r>
    <n v="2026"/>
    <n v="3"/>
    <x v="279"/>
    <n v="5"/>
    <n v="1948"/>
    <x v="272"/>
    <n v="0"/>
    <n v="604034.12"/>
    <n v="3999000"/>
  </r>
  <r>
    <n v="2026"/>
    <n v="3"/>
    <x v="280"/>
    <m/>
    <m/>
    <x v="273"/>
    <n v="60841950.159999996"/>
    <n v="394477000.66000003"/>
    <n v="1836890000"/>
  </r>
  <r>
    <n v="2026"/>
    <n v="3"/>
    <x v="281"/>
    <m/>
    <m/>
    <x v="274"/>
    <n v="60841950.159999996"/>
    <n v="384218841.97000003"/>
    <n v="1745180000"/>
  </r>
  <r>
    <n v="2026"/>
    <n v="3"/>
    <x v="282"/>
    <m/>
    <m/>
    <x v="275"/>
    <n v="55813660.18"/>
    <n v="239197657.91999999"/>
    <n v="1471666000"/>
  </r>
  <r>
    <n v="2026"/>
    <n v="3"/>
    <x v="283"/>
    <n v="1"/>
    <n v="1236"/>
    <x v="275"/>
    <n v="55813660.18"/>
    <n v="239197657.91999999"/>
    <n v="1471666000"/>
  </r>
  <r>
    <n v="2026"/>
    <n v="3"/>
    <x v="284"/>
    <m/>
    <m/>
    <x v="276"/>
    <n v="4913987.12"/>
    <n v="143017042.25"/>
    <n v="262434000"/>
  </r>
  <r>
    <n v="2026"/>
    <n v="3"/>
    <x v="285"/>
    <n v="1"/>
    <n v="1287"/>
    <x v="276"/>
    <n v="4913987.12"/>
    <n v="143017042.25"/>
    <n v="262434000"/>
  </r>
  <r>
    <n v="2026"/>
    <n v="3"/>
    <x v="286"/>
    <m/>
    <m/>
    <x v="277"/>
    <n v="114302.86"/>
    <n v="1889654.32"/>
    <n v="10567000"/>
  </r>
  <r>
    <n v="2026"/>
    <n v="3"/>
    <x v="287"/>
    <n v="1"/>
    <n v="1252"/>
    <x v="278"/>
    <n v="114302.86"/>
    <n v="1889654.32"/>
    <n v="10567000"/>
  </r>
  <r>
    <n v="2026"/>
    <n v="3"/>
    <x v="288"/>
    <m/>
    <m/>
    <x v="279"/>
    <n v="0"/>
    <n v="114487.48"/>
    <n v="513000"/>
  </r>
  <r>
    <n v="2026"/>
    <n v="3"/>
    <x v="289"/>
    <n v="1"/>
    <n v="1840"/>
    <x v="279"/>
    <n v="0"/>
    <n v="114487.48"/>
    <n v="513000"/>
  </r>
  <r>
    <n v="2026"/>
    <n v="3"/>
    <x v="290"/>
    <m/>
    <m/>
    <x v="280"/>
    <n v="0"/>
    <n v="10258158.689999999"/>
    <n v="89820000"/>
  </r>
  <r>
    <n v="2026"/>
    <n v="3"/>
    <x v="291"/>
    <m/>
    <m/>
    <x v="281"/>
    <n v="0"/>
    <n v="8053502.2699999996"/>
    <n v="66339000"/>
  </r>
  <r>
    <n v="2026"/>
    <n v="3"/>
    <x v="292"/>
    <n v="2"/>
    <n v="1414"/>
    <x v="282"/>
    <n v="0"/>
    <n v="0"/>
    <n v="4000000"/>
  </r>
  <r>
    <n v="2026"/>
    <n v="3"/>
    <x v="293"/>
    <n v="2"/>
    <n v="2035"/>
    <x v="283"/>
    <n v="0"/>
    <n v="8053502.2699999996"/>
    <n v="55000000"/>
  </r>
  <r>
    <n v="2026"/>
    <n v="3"/>
    <x v="294"/>
    <n v="2"/>
    <n v="2036"/>
    <x v="284"/>
    <n v="0"/>
    <n v="0"/>
    <n v="1475000"/>
  </r>
  <r>
    <n v="2026"/>
    <n v="3"/>
    <x v="295"/>
    <n v="2"/>
    <n v="1415"/>
    <x v="285"/>
    <n v="0"/>
    <n v="0"/>
    <n v="5864000"/>
  </r>
  <r>
    <n v="2026"/>
    <n v="3"/>
    <x v="296"/>
    <m/>
    <m/>
    <x v="286"/>
    <n v="0"/>
    <n v="2204656.42"/>
    <n v="22818000"/>
  </r>
  <r>
    <n v="2026"/>
    <n v="3"/>
    <x v="297"/>
    <n v="2"/>
    <n v="2907"/>
    <x v="287"/>
    <n v="0"/>
    <n v="2204656.42"/>
    <n v="22818000"/>
  </r>
  <r>
    <n v="2026"/>
    <n v="3"/>
    <x v="298"/>
    <m/>
    <m/>
    <x v="288"/>
    <n v="0"/>
    <n v="0"/>
    <n v="663000"/>
  </r>
  <r>
    <n v="2026"/>
    <n v="3"/>
    <x v="299"/>
    <n v="2"/>
    <n v="2247"/>
    <x v="289"/>
    <n v="0"/>
    <n v="0"/>
    <n v="663000"/>
  </r>
  <r>
    <n v="2026"/>
    <n v="3"/>
    <x v="300"/>
    <m/>
    <m/>
    <x v="290"/>
    <n v="0"/>
    <n v="0"/>
    <n v="1890000"/>
  </r>
  <r>
    <n v="2026"/>
    <n v="3"/>
    <x v="301"/>
    <m/>
    <m/>
    <x v="291"/>
    <n v="0"/>
    <n v="0"/>
    <n v="1890000"/>
  </r>
  <r>
    <n v="2026"/>
    <n v="3"/>
    <x v="302"/>
    <n v="2"/>
    <n v="2311"/>
    <x v="292"/>
    <n v="0"/>
    <n v="0"/>
    <n v="768000"/>
  </r>
  <r>
    <n v="2026"/>
    <n v="3"/>
    <x v="303"/>
    <n v="2"/>
    <n v="2317"/>
    <x v="293"/>
    <n v="0"/>
    <n v="0"/>
    <n v="113000"/>
  </r>
  <r>
    <n v="2026"/>
    <n v="3"/>
    <x v="304"/>
    <n v="2"/>
    <n v="2037"/>
    <x v="294"/>
    <n v="0"/>
    <n v="0"/>
    <n v="1009000"/>
  </r>
  <r>
    <n v="2026"/>
    <n v="3"/>
    <x v="305"/>
    <m/>
    <m/>
    <x v="295"/>
    <n v="0"/>
    <n v="291078"/>
    <n v="0"/>
  </r>
  <r>
    <n v="2026"/>
    <n v="3"/>
    <x v="306"/>
    <m/>
    <m/>
    <x v="296"/>
    <n v="0"/>
    <n v="291078"/>
    <n v="0"/>
  </r>
  <r>
    <n v="2026"/>
    <n v="3"/>
    <x v="307"/>
    <n v="6"/>
    <n v="2138"/>
    <x v="297"/>
    <n v="0"/>
    <n v="291078"/>
    <n v="0"/>
  </r>
  <r>
    <n v="2026"/>
    <n v="3"/>
    <x v="308"/>
    <m/>
    <m/>
    <x v="298"/>
    <n v="21602894.77"/>
    <n v="125438663.93000001"/>
    <n v="662417000"/>
  </r>
  <r>
    <n v="2026"/>
    <n v="3"/>
    <x v="309"/>
    <m/>
    <m/>
    <x v="299"/>
    <n v="21602894.77"/>
    <n v="125438663.93000001"/>
    <n v="662417000"/>
  </r>
  <r>
    <n v="2026"/>
    <n v="3"/>
    <x v="310"/>
    <m/>
    <m/>
    <x v="300"/>
    <n v="21602894.77"/>
    <n v="125438663.93000001"/>
    <n v="662417000"/>
  </r>
  <r>
    <n v="2026"/>
    <n v="3"/>
    <x v="311"/>
    <n v="2"/>
    <n v="1321"/>
    <x v="301"/>
    <n v="0"/>
    <n v="11698932.550000001"/>
    <n v="59713000"/>
  </r>
  <r>
    <n v="2026"/>
    <n v="3"/>
    <x v="312"/>
    <n v="2"/>
    <n v="1322"/>
    <x v="302"/>
    <n v="0"/>
    <n v="50172.78"/>
    <n v="1120000"/>
  </r>
  <r>
    <n v="2026"/>
    <n v="3"/>
    <x v="313"/>
    <n v="2"/>
    <n v="1324"/>
    <x v="303"/>
    <n v="18860349.809999999"/>
    <n v="78024162.329999998"/>
    <n v="507651000"/>
  </r>
  <r>
    <n v="2026"/>
    <n v="3"/>
    <x v="314"/>
    <n v="2"/>
    <n v="1325"/>
    <x v="304"/>
    <n v="0"/>
    <n v="558243"/>
    <n v="4048000"/>
  </r>
  <r>
    <n v="2026"/>
    <n v="3"/>
    <x v="315"/>
    <n v="2"/>
    <n v="1326"/>
    <x v="305"/>
    <n v="2494535.75"/>
    <n v="32296434.57"/>
    <n v="68878000"/>
  </r>
  <r>
    <n v="2026"/>
    <n v="3"/>
    <x v="316"/>
    <n v="2"/>
    <n v="1327"/>
    <x v="306"/>
    <n v="248009.21"/>
    <n v="1826820.12"/>
    <n v="16325000"/>
  </r>
  <r>
    <n v="2026"/>
    <n v="3"/>
    <x v="317"/>
    <n v="2"/>
    <n v="1328"/>
    <x v="307"/>
    <n v="0"/>
    <n v="983898.58"/>
    <n v="4682000"/>
  </r>
  <r>
    <n v="2026"/>
    <n v="3"/>
    <x v="318"/>
    <m/>
    <m/>
    <x v="308"/>
    <n v="2882706.89"/>
    <n v="42296272.100000001"/>
    <n v="117982000"/>
  </r>
  <r>
    <n v="2026"/>
    <n v="3"/>
    <x v="319"/>
    <m/>
    <m/>
    <x v="309"/>
    <n v="485700.41"/>
    <n v="14000878.02"/>
    <n v="46399000"/>
  </r>
  <r>
    <n v="2026"/>
    <n v="3"/>
    <x v="320"/>
    <m/>
    <m/>
    <x v="309"/>
    <n v="485700.41"/>
    <n v="14000878.02"/>
    <n v="46399000"/>
  </r>
  <r>
    <n v="2026"/>
    <n v="3"/>
    <x v="321"/>
    <m/>
    <m/>
    <x v="310"/>
    <n v="92114.41"/>
    <n v="597386"/>
    <n v="3691000"/>
  </r>
  <r>
    <n v="2026"/>
    <n v="3"/>
    <x v="322"/>
    <m/>
    <m/>
    <x v="311"/>
    <n v="91705.279999999999"/>
    <n v="593623.76"/>
    <n v="3557000"/>
  </r>
  <r>
    <n v="2026"/>
    <n v="3"/>
    <x v="323"/>
    <n v="1"/>
    <n v="2011"/>
    <x v="312"/>
    <n v="61472.83"/>
    <n v="155768.54"/>
    <n v="397000"/>
  </r>
  <r>
    <n v="2026"/>
    <n v="3"/>
    <x v="324"/>
    <n v="3"/>
    <n v="2070"/>
    <x v="313"/>
    <n v="3649.05"/>
    <n v="62943.58"/>
    <n v="300000"/>
  </r>
  <r>
    <n v="2026"/>
    <n v="3"/>
    <x v="325"/>
    <n v="3"/>
    <n v="2072"/>
    <x v="314"/>
    <n v="5464.41"/>
    <n v="42748.29"/>
    <n v="200000"/>
  </r>
  <r>
    <n v="2026"/>
    <n v="3"/>
    <x v="326"/>
    <n v="3"/>
    <n v="1950"/>
    <x v="315"/>
    <n v="21018.99"/>
    <n v="332063.34999999998"/>
    <n v="2660000"/>
  </r>
  <r>
    <n v="2026"/>
    <n v="3"/>
    <x v="327"/>
    <n v="3"/>
    <n v="2077"/>
    <x v="316"/>
    <n v="100"/>
    <n v="100"/>
    <n v="0"/>
  </r>
  <r>
    <n v="2026"/>
    <n v="3"/>
    <x v="328"/>
    <m/>
    <m/>
    <x v="317"/>
    <n v="120.09"/>
    <n v="129.33000000000001"/>
    <n v="1000"/>
  </r>
  <r>
    <n v="2026"/>
    <n v="3"/>
    <x v="329"/>
    <n v="3"/>
    <n v="2075"/>
    <x v="318"/>
    <n v="120.09"/>
    <n v="129.33000000000001"/>
    <n v="1000"/>
  </r>
  <r>
    <n v="2026"/>
    <n v="3"/>
    <x v="330"/>
    <m/>
    <m/>
    <x v="319"/>
    <n v="132.09"/>
    <n v="1906.88"/>
    <n v="67000"/>
  </r>
  <r>
    <n v="2026"/>
    <n v="3"/>
    <x v="331"/>
    <n v="1"/>
    <n v="2062"/>
    <x v="320"/>
    <n v="0"/>
    <n v="0"/>
    <n v="1000"/>
  </r>
  <r>
    <n v="2026"/>
    <n v="3"/>
    <x v="332"/>
    <n v="3"/>
    <n v="2074"/>
    <x v="321"/>
    <n v="132.09"/>
    <n v="1906.88"/>
    <n v="66000"/>
  </r>
  <r>
    <n v="2026"/>
    <n v="3"/>
    <x v="333"/>
    <m/>
    <m/>
    <x v="322"/>
    <n v="156.94999999999999"/>
    <n v="1726.03"/>
    <n v="66000"/>
  </r>
  <r>
    <n v="2026"/>
    <n v="3"/>
    <x v="334"/>
    <n v="3"/>
    <n v="2073"/>
    <x v="323"/>
    <n v="156.94999999999999"/>
    <n v="1726.03"/>
    <n v="66000"/>
  </r>
  <r>
    <n v="2026"/>
    <n v="3"/>
    <x v="335"/>
    <m/>
    <m/>
    <x v="324"/>
    <n v="14593.83"/>
    <n v="37591.67"/>
    <n v="462000"/>
  </r>
  <r>
    <n v="2026"/>
    <n v="3"/>
    <x v="336"/>
    <n v="1"/>
    <n v="2006"/>
    <x v="325"/>
    <n v="9554.4"/>
    <n v="20657.099999999999"/>
    <n v="444000"/>
  </r>
  <r>
    <n v="2026"/>
    <n v="3"/>
    <x v="337"/>
    <n v="1"/>
    <n v="2008"/>
    <x v="326"/>
    <n v="5039.43"/>
    <n v="16934.57"/>
    <n v="18000"/>
  </r>
  <r>
    <n v="2026"/>
    <n v="3"/>
    <x v="338"/>
    <m/>
    <m/>
    <x v="327"/>
    <n v="378992.17"/>
    <n v="13365900.35"/>
    <n v="42246000"/>
  </r>
  <r>
    <n v="2026"/>
    <n v="3"/>
    <x v="339"/>
    <n v="3"/>
    <n v="2127"/>
    <x v="328"/>
    <n v="378992.17"/>
    <n v="13365703.07"/>
    <n v="40208000"/>
  </r>
  <r>
    <n v="2026"/>
    <n v="3"/>
    <x v="340"/>
    <n v="3"/>
    <n v="2128"/>
    <x v="329"/>
    <n v="0"/>
    <n v="0"/>
    <n v="2035000"/>
  </r>
  <r>
    <n v="2026"/>
    <n v="3"/>
    <x v="341"/>
    <n v="3"/>
    <n v="2760"/>
    <x v="330"/>
    <n v="0"/>
    <n v="197.28"/>
    <n v="2000"/>
  </r>
  <r>
    <n v="2026"/>
    <n v="3"/>
    <x v="342"/>
    <n v="3"/>
    <n v="2770"/>
    <x v="331"/>
    <n v="0"/>
    <n v="0"/>
    <n v="1000"/>
  </r>
  <r>
    <n v="2026"/>
    <n v="3"/>
    <x v="343"/>
    <m/>
    <m/>
    <x v="332"/>
    <n v="186307.04"/>
    <n v="2542051.17"/>
    <n v="332000"/>
  </r>
  <r>
    <n v="2026"/>
    <n v="3"/>
    <x v="344"/>
    <m/>
    <m/>
    <x v="333"/>
    <n v="0"/>
    <n v="1820318.02"/>
    <n v="332000"/>
  </r>
  <r>
    <n v="2026"/>
    <n v="3"/>
    <x v="345"/>
    <m/>
    <m/>
    <x v="334"/>
    <n v="0"/>
    <n v="1820318.02"/>
    <n v="332000"/>
  </r>
  <r>
    <n v="2026"/>
    <n v="3"/>
    <x v="346"/>
    <n v="1"/>
    <n v="2171"/>
    <x v="333"/>
    <n v="0"/>
    <n v="1820318.02"/>
    <n v="332000"/>
  </r>
  <r>
    <n v="2026"/>
    <n v="3"/>
    <x v="347"/>
    <m/>
    <m/>
    <x v="335"/>
    <n v="186307.04"/>
    <n v="721733.15"/>
    <n v="0"/>
  </r>
  <r>
    <n v="2026"/>
    <n v="3"/>
    <x v="348"/>
    <m/>
    <m/>
    <x v="336"/>
    <n v="186307.04"/>
    <n v="721733.15"/>
    <n v="0"/>
  </r>
  <r>
    <n v="2026"/>
    <n v="3"/>
    <x v="349"/>
    <m/>
    <m/>
    <x v="337"/>
    <n v="186307.04"/>
    <n v="721733.15"/>
    <n v="0"/>
  </r>
  <r>
    <n v="2026"/>
    <n v="3"/>
    <x v="350"/>
    <n v="1"/>
    <n v="2170"/>
    <x v="336"/>
    <n v="186307.04"/>
    <n v="721733.15"/>
    <n v="0"/>
  </r>
  <r>
    <n v="2026"/>
    <n v="3"/>
    <x v="351"/>
    <m/>
    <m/>
    <x v="338"/>
    <n v="2210699.44"/>
    <n v="25753342.91"/>
    <n v="71251000"/>
  </r>
  <r>
    <n v="2026"/>
    <n v="3"/>
    <x v="352"/>
    <m/>
    <m/>
    <x v="308"/>
    <n v="2210699.44"/>
    <n v="25753342.91"/>
    <n v="71251000"/>
  </r>
  <r>
    <n v="2026"/>
    <n v="3"/>
    <x v="353"/>
    <m/>
    <m/>
    <x v="339"/>
    <n v="2210699.44"/>
    <n v="25753342.91"/>
    <n v="71251000"/>
  </r>
  <r>
    <n v="2026"/>
    <n v="3"/>
    <x v="354"/>
    <m/>
    <m/>
    <x v="340"/>
    <n v="2210699.44"/>
    <n v="25753342.91"/>
    <n v="71251000"/>
  </r>
  <r>
    <n v="2026"/>
    <n v="3"/>
    <x v="355"/>
    <n v="3"/>
    <n v="2194"/>
    <x v="341"/>
    <n v="0"/>
    <n v="0"/>
    <n v="2000"/>
  </r>
  <r>
    <n v="2026"/>
    <n v="3"/>
    <x v="356"/>
    <n v="3"/>
    <n v="2135"/>
    <x v="342"/>
    <n v="36607.65"/>
    <n v="4031557.67"/>
    <n v="16556000"/>
  </r>
  <r>
    <n v="2026"/>
    <n v="3"/>
    <x v="357"/>
    <n v="3"/>
    <n v="1580"/>
    <x v="343"/>
    <n v="0"/>
    <n v="0"/>
    <n v="1000"/>
  </r>
  <r>
    <n v="2026"/>
    <n v="3"/>
    <x v="358"/>
    <n v="1"/>
    <n v="2089"/>
    <x v="344"/>
    <n v="11441.98"/>
    <n v="98652.82"/>
    <n v="2260000"/>
  </r>
  <r>
    <n v="2026"/>
    <n v="3"/>
    <x v="359"/>
    <n v="6"/>
    <n v="2097"/>
    <x v="345"/>
    <n v="0"/>
    <n v="1000"/>
    <n v="0"/>
  </r>
  <r>
    <n v="2026"/>
    <n v="3"/>
    <x v="360"/>
    <n v="3"/>
    <n v="2160"/>
    <x v="346"/>
    <n v="311825.44"/>
    <n v="1013173.91"/>
    <n v="4128000"/>
  </r>
  <r>
    <n v="2026"/>
    <n v="3"/>
    <x v="361"/>
    <n v="3"/>
    <n v="2970"/>
    <x v="347"/>
    <n v="0"/>
    <n v="3360.21"/>
    <n v="1000"/>
  </r>
  <r>
    <n v="2026"/>
    <n v="3"/>
    <x v="362"/>
    <n v="3"/>
    <n v="1520"/>
    <x v="348"/>
    <n v="0"/>
    <n v="0"/>
    <n v="1000"/>
  </r>
  <r>
    <n v="2026"/>
    <n v="3"/>
    <x v="363"/>
    <n v="3"/>
    <n v="2208"/>
    <x v="349"/>
    <n v="0"/>
    <n v="7126973.2800000003"/>
    <n v="0"/>
  </r>
  <r>
    <n v="2026"/>
    <n v="3"/>
    <x v="364"/>
    <n v="3"/>
    <n v="2348"/>
    <x v="350"/>
    <n v="45897.33"/>
    <n v="138906.9"/>
    <n v="590000"/>
  </r>
  <r>
    <n v="2026"/>
    <n v="3"/>
    <x v="365"/>
    <n v="3"/>
    <n v="2350"/>
    <x v="351"/>
    <n v="0"/>
    <n v="0"/>
    <n v="1000"/>
  </r>
  <r>
    <n v="2026"/>
    <n v="3"/>
    <x v="366"/>
    <n v="3"/>
    <n v="2987"/>
    <x v="352"/>
    <n v="0"/>
    <n v="300"/>
    <n v="1255000"/>
  </r>
  <r>
    <n v="2026"/>
    <n v="3"/>
    <x v="367"/>
    <n v="3"/>
    <n v="2988"/>
    <x v="353"/>
    <n v="0"/>
    <n v="0"/>
    <n v="6793000"/>
  </r>
  <r>
    <n v="2026"/>
    <n v="3"/>
    <x v="368"/>
    <n v="3"/>
    <n v="2989"/>
    <x v="354"/>
    <n v="54083.6"/>
    <n v="1491700.47"/>
    <n v="2696000"/>
  </r>
  <r>
    <n v="2026"/>
    <n v="3"/>
    <x v="369"/>
    <n v="1"/>
    <n v="2969"/>
    <x v="355"/>
    <n v="43198.27"/>
    <n v="480251.3"/>
    <n v="5274000"/>
  </r>
  <r>
    <n v="2026"/>
    <n v="3"/>
    <x v="370"/>
    <n v="3"/>
    <n v="2967"/>
    <x v="356"/>
    <n v="3034"/>
    <n v="12471.09"/>
    <n v="25000"/>
  </r>
  <r>
    <n v="2026"/>
    <n v="3"/>
    <x v="371"/>
    <n v="3"/>
    <n v="2891"/>
    <x v="357"/>
    <n v="0"/>
    <n v="17613.23"/>
    <n v="354000"/>
  </r>
  <r>
    <n v="2026"/>
    <n v="3"/>
    <x v="372"/>
    <n v="6"/>
    <n v="2605"/>
    <x v="358"/>
    <n v="918.51"/>
    <n v="14803.58"/>
    <n v="40000"/>
  </r>
  <r>
    <n v="2026"/>
    <n v="3"/>
    <x v="373"/>
    <n v="3"/>
    <n v="2892"/>
    <x v="359"/>
    <n v="723294.96"/>
    <n v="1613223.86"/>
    <n v="4952000"/>
  </r>
  <r>
    <n v="2026"/>
    <n v="3"/>
    <x v="374"/>
    <n v="6"/>
    <n v="2720"/>
    <x v="360"/>
    <n v="0"/>
    <n v="81480"/>
    <n v="288000"/>
  </r>
  <r>
    <n v="2026"/>
    <n v="3"/>
    <x v="375"/>
    <n v="3"/>
    <n v="2893"/>
    <x v="361"/>
    <n v="3799.47"/>
    <n v="846538.31"/>
    <n v="2834000"/>
  </r>
  <r>
    <n v="2026"/>
    <n v="3"/>
    <x v="376"/>
    <n v="3"/>
    <n v="2163"/>
    <x v="362"/>
    <n v="14605.92"/>
    <n v="23857.11"/>
    <n v="70000"/>
  </r>
  <r>
    <n v="2026"/>
    <n v="3"/>
    <x v="377"/>
    <n v="1"/>
    <n v="2461"/>
    <x v="363"/>
    <n v="197640.86"/>
    <n v="1504298.56"/>
    <n v="4333000"/>
  </r>
  <r>
    <n v="2026"/>
    <n v="3"/>
    <x v="378"/>
    <n v="1"/>
    <n v="1690"/>
    <x v="364"/>
    <n v="764351.45"/>
    <n v="7253180.6100000003"/>
    <n v="18797000"/>
  </r>
  <r>
    <n v="2026"/>
    <n v="3"/>
    <x v="379"/>
    <m/>
    <m/>
    <x v="365"/>
    <n v="0"/>
    <n v="722364.1"/>
    <n v="156718000"/>
  </r>
  <r>
    <n v="2026"/>
    <n v="3"/>
    <x v="380"/>
    <m/>
    <m/>
    <x v="366"/>
    <n v="0"/>
    <n v="0"/>
    <n v="90900000"/>
  </r>
  <r>
    <n v="2026"/>
    <n v="3"/>
    <x v="381"/>
    <m/>
    <m/>
    <x v="367"/>
    <n v="0"/>
    <n v="0"/>
    <n v="90900000"/>
  </r>
  <r>
    <n v="2026"/>
    <n v="3"/>
    <x v="382"/>
    <m/>
    <m/>
    <x v="368"/>
    <n v="0"/>
    <n v="0"/>
    <n v="90900000"/>
  </r>
  <r>
    <n v="2026"/>
    <n v="3"/>
    <x v="383"/>
    <m/>
    <m/>
    <x v="368"/>
    <n v="0"/>
    <n v="0"/>
    <n v="90900000"/>
  </r>
  <r>
    <n v="2026"/>
    <n v="3"/>
    <x v="384"/>
    <n v="7"/>
    <n v="2232"/>
    <x v="369"/>
    <n v="0"/>
    <n v="0"/>
    <n v="60000000"/>
  </r>
  <r>
    <n v="2026"/>
    <n v="3"/>
    <x v="385"/>
    <n v="7"/>
    <n v="2233"/>
    <x v="370"/>
    <n v="0"/>
    <n v="0"/>
    <n v="30900000"/>
  </r>
  <r>
    <n v="2026"/>
    <n v="3"/>
    <x v="386"/>
    <m/>
    <m/>
    <x v="371"/>
    <n v="0"/>
    <n v="0"/>
    <n v="466000"/>
  </r>
  <r>
    <n v="2026"/>
    <n v="3"/>
    <x v="387"/>
    <m/>
    <m/>
    <x v="372"/>
    <n v="0"/>
    <n v="0"/>
    <n v="466000"/>
  </r>
  <r>
    <n v="2026"/>
    <n v="3"/>
    <x v="388"/>
    <m/>
    <m/>
    <x v="373"/>
    <n v="0"/>
    <n v="0"/>
    <n v="466000"/>
  </r>
  <r>
    <n v="2026"/>
    <n v="3"/>
    <x v="389"/>
    <m/>
    <m/>
    <x v="374"/>
    <n v="0"/>
    <n v="0"/>
    <n v="466000"/>
  </r>
  <r>
    <n v="2026"/>
    <n v="3"/>
    <x v="390"/>
    <n v="1"/>
    <n v="2381"/>
    <x v="373"/>
    <n v="0"/>
    <n v="0"/>
    <n v="466000"/>
  </r>
  <r>
    <n v="2026"/>
    <n v="3"/>
    <x v="391"/>
    <m/>
    <m/>
    <x v="375"/>
    <n v="0"/>
    <n v="722364.1"/>
    <n v="65352000"/>
  </r>
  <r>
    <n v="2026"/>
    <n v="3"/>
    <x v="392"/>
    <m/>
    <m/>
    <x v="208"/>
    <n v="0"/>
    <n v="0"/>
    <n v="30002000"/>
  </r>
  <r>
    <n v="2026"/>
    <n v="3"/>
    <x v="393"/>
    <m/>
    <m/>
    <x v="376"/>
    <n v="0"/>
    <n v="0"/>
    <n v="30002000"/>
  </r>
  <r>
    <n v="2026"/>
    <n v="3"/>
    <x v="394"/>
    <m/>
    <m/>
    <x v="377"/>
    <n v="0"/>
    <n v="0"/>
    <n v="30002000"/>
  </r>
  <r>
    <n v="2026"/>
    <n v="3"/>
    <x v="395"/>
    <m/>
    <m/>
    <x v="378"/>
    <n v="0"/>
    <n v="0"/>
    <n v="30002000"/>
  </r>
  <r>
    <n v="2026"/>
    <n v="3"/>
    <x v="396"/>
    <n v="5"/>
    <n v="2697"/>
    <x v="379"/>
    <n v="0"/>
    <n v="0"/>
    <n v="30002000"/>
  </r>
  <r>
    <n v="2026"/>
    <n v="3"/>
    <x v="397"/>
    <m/>
    <m/>
    <x v="273"/>
    <n v="0"/>
    <n v="520989.46"/>
    <n v="20393000"/>
  </r>
  <r>
    <n v="2026"/>
    <n v="3"/>
    <x v="398"/>
    <m/>
    <m/>
    <x v="380"/>
    <n v="0"/>
    <n v="520989.46"/>
    <n v="20393000"/>
  </r>
  <r>
    <n v="2026"/>
    <n v="3"/>
    <x v="399"/>
    <m/>
    <m/>
    <x v="288"/>
    <n v="0"/>
    <n v="520989.46"/>
    <n v="20393000"/>
  </r>
  <r>
    <n v="2026"/>
    <n v="3"/>
    <x v="400"/>
    <n v="2"/>
    <n v="2034"/>
    <x v="381"/>
    <n v="0"/>
    <n v="0"/>
    <n v="14012000"/>
  </r>
  <r>
    <n v="2026"/>
    <n v="3"/>
    <x v="401"/>
    <n v="2"/>
    <n v="4007"/>
    <x v="382"/>
    <n v="0"/>
    <n v="0"/>
    <n v="100000"/>
  </r>
  <r>
    <n v="2026"/>
    <n v="3"/>
    <x v="402"/>
    <n v="2"/>
    <n v="2981"/>
    <x v="383"/>
    <n v="0"/>
    <n v="267733.65000000002"/>
    <n v="671000"/>
  </r>
  <r>
    <n v="2026"/>
    <n v="3"/>
    <x v="403"/>
    <n v="2"/>
    <n v="2982"/>
    <x v="384"/>
    <n v="0"/>
    <n v="0"/>
    <n v="1282000"/>
  </r>
  <r>
    <n v="2026"/>
    <n v="3"/>
    <x v="404"/>
    <n v="2"/>
    <n v="2634"/>
    <x v="385"/>
    <n v="0"/>
    <n v="0"/>
    <n v="4328000"/>
  </r>
  <r>
    <n v="2026"/>
    <n v="3"/>
    <x v="405"/>
    <n v="2"/>
    <n v="4029"/>
    <x v="386"/>
    <n v="0"/>
    <n v="253255.81"/>
    <n v="0"/>
  </r>
  <r>
    <n v="2026"/>
    <n v="3"/>
    <x v="406"/>
    <m/>
    <m/>
    <x v="387"/>
    <n v="0"/>
    <n v="201374.64"/>
    <n v="14957000"/>
  </r>
  <r>
    <n v="2026"/>
    <n v="3"/>
    <x v="407"/>
    <m/>
    <m/>
    <x v="387"/>
    <n v="0"/>
    <n v="201374.64"/>
    <n v="14957000"/>
  </r>
  <r>
    <n v="2026"/>
    <n v="3"/>
    <x v="408"/>
    <m/>
    <m/>
    <x v="388"/>
    <n v="0"/>
    <n v="201374.64"/>
    <n v="14957000"/>
  </r>
  <r>
    <n v="2026"/>
    <n v="3"/>
    <x v="409"/>
    <n v="6"/>
    <n v="2612"/>
    <x v="389"/>
    <n v="0"/>
    <n v="3208.85"/>
    <n v="60000"/>
  </r>
  <r>
    <n v="2026"/>
    <n v="3"/>
    <x v="410"/>
    <n v="3"/>
    <n v="2622"/>
    <x v="390"/>
    <n v="0"/>
    <n v="198165.79"/>
    <n v="8356000"/>
  </r>
  <r>
    <n v="2026"/>
    <n v="3"/>
    <x v="411"/>
    <n v="6"/>
    <n v="2628"/>
    <x v="391"/>
    <n v="0"/>
    <n v="0"/>
    <n v="6541000"/>
  </r>
  <r>
    <n v="2026"/>
    <n v="3"/>
    <x v="412"/>
    <m/>
    <m/>
    <x v="392"/>
    <n v="-12168390.09"/>
    <n v="-82733316.950000003"/>
    <n v="-378812000"/>
  </r>
  <r>
    <n v="2026"/>
    <n v="3"/>
    <x v="413"/>
    <m/>
    <m/>
    <x v="393"/>
    <n v="-12168390.09"/>
    <n v="-82733316.950000003"/>
    <n v="-378812000"/>
  </r>
  <r>
    <n v="2026"/>
    <n v="3"/>
    <x v="414"/>
    <m/>
    <m/>
    <x v="394"/>
    <n v="-12168390.09"/>
    <n v="-82733316.950000003"/>
    <n v="-378812000"/>
  </r>
  <r>
    <n v="2026"/>
    <n v="3"/>
    <x v="415"/>
    <m/>
    <m/>
    <x v="395"/>
    <n v="0"/>
    <n v="-5912445.5599999996"/>
    <n v="-29879000"/>
  </r>
  <r>
    <n v="2026"/>
    <n v="3"/>
    <x v="416"/>
    <n v="1"/>
    <n v="2640"/>
    <x v="396"/>
    <n v="0"/>
    <n v="-5908876.7599999998"/>
    <n v="-29782000"/>
  </r>
  <r>
    <n v="2026"/>
    <n v="3"/>
    <x v="417"/>
    <n v="1"/>
    <n v="2710"/>
    <x v="397"/>
    <n v="0"/>
    <n v="-3568.8"/>
    <n v="-97000"/>
  </r>
  <r>
    <n v="2026"/>
    <n v="3"/>
    <x v="418"/>
    <m/>
    <m/>
    <x v="398"/>
    <n v="-12168390.09"/>
    <n v="-76820871.390000001"/>
    <n v="-348933000"/>
  </r>
  <r>
    <n v="2026"/>
    <n v="3"/>
    <x v="419"/>
    <m/>
    <m/>
    <x v="399"/>
    <n v="-12168390.09"/>
    <n v="-76820871.390000001"/>
    <n v="-348933000"/>
  </r>
  <r>
    <n v="2026"/>
    <n v="3"/>
    <x v="420"/>
    <n v="1"/>
    <n v="2650"/>
    <x v="400"/>
    <n v="-11162732.029999999"/>
    <n v="-47839531.549999997"/>
    <n v="-294333000"/>
  </r>
  <r>
    <n v="2026"/>
    <n v="3"/>
    <x v="421"/>
    <n v="1"/>
    <n v="2711"/>
    <x v="401"/>
    <n v="-982797.49"/>
    <n v="-28603408.969999999"/>
    <n v="-52487000"/>
  </r>
  <r>
    <n v="2026"/>
    <n v="3"/>
    <x v="422"/>
    <n v="1"/>
    <n v="2399"/>
    <x v="402"/>
    <n v="-22860.57"/>
    <n v="-377930.87"/>
    <n v="-2113000"/>
  </r>
  <r>
    <m/>
    <m/>
    <x v="423"/>
    <m/>
    <m/>
    <x v="403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5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A3:D9" firstHeaderRow="0" firstDataRow="1" firstDataCol="1" rowPageCount="1" colPageCount="1"/>
  <pivotFields count="9">
    <pivotField showAll="0"/>
    <pivotField showAll="0"/>
    <pivotField axis="axisPage" multipleItemSelectionAllowed="1" showAll="0">
      <items count="425">
        <item x="1"/>
        <item x="55"/>
        <item x="61"/>
        <item x="213"/>
        <item x="318"/>
        <item h="1" x="379"/>
        <item h="1" x="0"/>
        <item h="1" x="380"/>
        <item h="1" x="386"/>
        <item h="1" x="391"/>
        <item h="1" x="412"/>
        <item h="1" x="413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6"/>
        <item h="1" x="57"/>
        <item h="1" x="58"/>
        <item h="1" x="59"/>
        <item h="1" x="60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h="1" x="368"/>
        <item h="1" x="369"/>
        <item h="1" x="370"/>
        <item h="1" x="371"/>
        <item h="1" x="372"/>
        <item h="1" x="373"/>
        <item h="1" x="374"/>
        <item h="1" x="375"/>
        <item h="1" x="376"/>
        <item h="1" x="377"/>
        <item h="1" x="378"/>
        <item h="1" x="381"/>
        <item h="1" x="382"/>
        <item h="1" x="383"/>
        <item h="1" x="384"/>
        <item h="1" x="385"/>
        <item h="1" x="387"/>
        <item h="1" x="388"/>
        <item h="1" x="389"/>
        <item h="1" x="390"/>
        <item h="1" x="392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h="1" x="402"/>
        <item h="1" x="403"/>
        <item h="1" x="404"/>
        <item h="1" x="405"/>
        <item h="1" x="406"/>
        <item h="1" x="407"/>
        <item h="1" x="408"/>
        <item h="1" x="409"/>
        <item h="1" x="410"/>
        <item h="1" x="411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t="default"/>
      </items>
    </pivotField>
    <pivotField showAll="0"/>
    <pivotField showAll="0"/>
    <pivotField axis="axisRow" showAll="0">
      <items count="405">
        <item x="399"/>
        <item x="371"/>
        <item x="372"/>
        <item x="373"/>
        <item x="374"/>
        <item x="61"/>
        <item x="60"/>
        <item x="59"/>
        <item x="245"/>
        <item x="360"/>
        <item x="391"/>
        <item x="272"/>
        <item x="68"/>
        <item x="66"/>
        <item x="64"/>
        <item x="49"/>
        <item x="50"/>
        <item x="52"/>
        <item x="51"/>
        <item x="54"/>
        <item x="56"/>
        <item x="55"/>
        <item x="53"/>
        <item x="381"/>
        <item x="289"/>
        <item x="389"/>
        <item x="384"/>
        <item x="383"/>
        <item x="297"/>
        <item x="287"/>
        <item x="221"/>
        <item x="223"/>
        <item x="220"/>
        <item x="222"/>
        <item x="224"/>
        <item x="225"/>
        <item x="279"/>
        <item x="214"/>
        <item x="216"/>
        <item x="213"/>
        <item x="215"/>
        <item x="211"/>
        <item x="212"/>
        <item x="210"/>
        <item x="229"/>
        <item x="230"/>
        <item x="275"/>
        <item x="217"/>
        <item x="218"/>
        <item x="278"/>
        <item x="277"/>
        <item x="276"/>
        <item x="227"/>
        <item x="226"/>
        <item x="228"/>
        <item x="393"/>
        <item x="394"/>
        <item x="396"/>
        <item x="400"/>
        <item x="402"/>
        <item x="401"/>
        <item x="397"/>
        <item x="395"/>
        <item x="398"/>
        <item x="338"/>
        <item x="355"/>
        <item x="330"/>
        <item x="331"/>
        <item x="344"/>
        <item x="323"/>
        <item x="321"/>
        <item x="320"/>
        <item x="363"/>
        <item x="205"/>
        <item x="206"/>
        <item x="358"/>
        <item x="382"/>
        <item x="386"/>
        <item x="58"/>
        <item x="62"/>
        <item x="63"/>
        <item x="307"/>
        <item x="301"/>
        <item x="303"/>
        <item x="304"/>
        <item x="305"/>
        <item x="306"/>
        <item x="302"/>
        <item x="342"/>
        <item x="293"/>
        <item x="292"/>
        <item x="294"/>
        <item x="348"/>
        <item x="341"/>
        <item x="354"/>
        <item x="349"/>
        <item x="359"/>
        <item x="350"/>
        <item x="351"/>
        <item x="43"/>
        <item x="48"/>
        <item x="353"/>
        <item x="357"/>
        <item x="356"/>
        <item x="343"/>
        <item x="352"/>
        <item x="361"/>
        <item x="347"/>
        <item x="4"/>
        <item x="8"/>
        <item x="9"/>
        <item x="7"/>
        <item x="5"/>
        <item x="6"/>
        <item x="14"/>
        <item x="18"/>
        <item x="19"/>
        <item x="15"/>
        <item x="17"/>
        <item x="16"/>
        <item x="28"/>
        <item x="29"/>
        <item x="22"/>
        <item x="24"/>
        <item x="27"/>
        <item x="23"/>
        <item x="26"/>
        <item x="25"/>
        <item x="12"/>
        <item x="11"/>
        <item x="2"/>
        <item x="20"/>
        <item x="13"/>
        <item x="3"/>
        <item x="21"/>
        <item x="10"/>
        <item x="1"/>
        <item x="333"/>
        <item x="332"/>
        <item x="184"/>
        <item x="105"/>
        <item x="113"/>
        <item x="94"/>
        <item x="115"/>
        <item x="123"/>
        <item x="140"/>
        <item x="114"/>
        <item x="204"/>
        <item x="131"/>
        <item x="79"/>
        <item x="81"/>
        <item x="88"/>
        <item x="149"/>
        <item x="109"/>
        <item x="155"/>
        <item x="136"/>
        <item x="159"/>
        <item x="122"/>
        <item x="126"/>
        <item x="154"/>
        <item x="150"/>
        <item x="151"/>
        <item x="167"/>
        <item x="142"/>
        <item x="146"/>
        <item x="135"/>
        <item x="124"/>
        <item x="134"/>
        <item x="138"/>
        <item x="139"/>
        <item x="85"/>
        <item x="104"/>
        <item x="112"/>
        <item x="137"/>
        <item x="119"/>
        <item x="120"/>
        <item x="152"/>
        <item x="176"/>
        <item x="197"/>
        <item x="198"/>
        <item x="199"/>
        <item x="196"/>
        <item x="190"/>
        <item x="182"/>
        <item x="180"/>
        <item x="183"/>
        <item x="181"/>
        <item x="191"/>
        <item x="188"/>
        <item x="194"/>
        <item x="192"/>
        <item x="189"/>
        <item x="195"/>
        <item x="187"/>
        <item x="175"/>
        <item x="171"/>
        <item x="172"/>
        <item x="186"/>
        <item x="185"/>
        <item x="177"/>
        <item x="156"/>
        <item x="160"/>
        <item x="161"/>
        <item x="157"/>
        <item x="193"/>
        <item x="148"/>
        <item x="132"/>
        <item x="128"/>
        <item x="127"/>
        <item x="144"/>
        <item x="168"/>
        <item x="147"/>
        <item x="90"/>
        <item x="72"/>
        <item x="84"/>
        <item x="133"/>
        <item x="164"/>
        <item x="162"/>
        <item x="165"/>
        <item x="86"/>
        <item x="153"/>
        <item x="163"/>
        <item x="91"/>
        <item x="103"/>
        <item x="110"/>
        <item x="93"/>
        <item x="73"/>
        <item x="179"/>
        <item x="92"/>
        <item x="107"/>
        <item x="100"/>
        <item x="98"/>
        <item x="101"/>
        <item x="125"/>
        <item x="80"/>
        <item x="99"/>
        <item x="75"/>
        <item x="89"/>
        <item x="97"/>
        <item x="130"/>
        <item x="82"/>
        <item x="166"/>
        <item x="108"/>
        <item x="178"/>
        <item x="129"/>
        <item x="145"/>
        <item x="121"/>
        <item x="141"/>
        <item x="96"/>
        <item x="78"/>
        <item x="95"/>
        <item x="158"/>
        <item x="102"/>
        <item x="173"/>
        <item x="87"/>
        <item x="77"/>
        <item x="76"/>
        <item x="170"/>
        <item x="74"/>
        <item x="174"/>
        <item x="106"/>
        <item x="116"/>
        <item x="118"/>
        <item x="117"/>
        <item x="143"/>
        <item x="111"/>
        <item x="203"/>
        <item x="200"/>
        <item x="169"/>
        <item x="201"/>
        <item x="202"/>
        <item x="83"/>
        <item x="318"/>
        <item x="70"/>
        <item x="265"/>
        <item x="309"/>
        <item x="364"/>
        <item x="324"/>
        <item x="326"/>
        <item x="325"/>
        <item x="316"/>
        <item x="314"/>
        <item x="313"/>
        <item x="315"/>
        <item x="312"/>
        <item x="310"/>
        <item x="319"/>
        <item x="317"/>
        <item x="311"/>
        <item x="322"/>
        <item x="329"/>
        <item x="328"/>
        <item x="327"/>
        <item x="370"/>
        <item x="369"/>
        <item x="366"/>
        <item x="367"/>
        <item x="334"/>
        <item x="368"/>
        <item x="339"/>
        <item x="308"/>
        <item x="340"/>
        <item x="288"/>
        <item x="388"/>
        <item x="269"/>
        <item x="290"/>
        <item x="274"/>
        <item x="390"/>
        <item x="251"/>
        <item x="252"/>
        <item x="254"/>
        <item x="253"/>
        <item x="255"/>
        <item x="256"/>
        <item x="250"/>
        <item x="258"/>
        <item x="270"/>
        <item x="65"/>
        <item x="67"/>
        <item x="57"/>
        <item x="207"/>
        <item x="0"/>
        <item x="365"/>
        <item x="71"/>
        <item x="345"/>
        <item x="385"/>
        <item x="336"/>
        <item x="337"/>
        <item x="335"/>
        <item x="362"/>
        <item x="243"/>
        <item x="235"/>
        <item x="285"/>
        <item x="282"/>
        <item x="283"/>
        <item x="284"/>
        <item x="379"/>
        <item x="237"/>
        <item x="234"/>
        <item x="241"/>
        <item x="240"/>
        <item x="239"/>
        <item x="37"/>
        <item x="47"/>
        <item x="45"/>
        <item x="40"/>
        <item x="46"/>
        <item x="42"/>
        <item x="34"/>
        <item x="36"/>
        <item x="38"/>
        <item x="33"/>
        <item x="35"/>
        <item x="39"/>
        <item x="30"/>
        <item x="32"/>
        <item x="41"/>
        <item x="44"/>
        <item x="31"/>
        <item x="266"/>
        <item x="248"/>
        <item x="271"/>
        <item x="392"/>
        <item x="208"/>
        <item x="219"/>
        <item x="375"/>
        <item x="268"/>
        <item x="286"/>
        <item x="280"/>
        <item x="380"/>
        <item x="281"/>
        <item x="296"/>
        <item x="291"/>
        <item x="387"/>
        <item x="298"/>
        <item x="260"/>
        <item x="261"/>
        <item x="259"/>
        <item x="378"/>
        <item x="242"/>
        <item x="236"/>
        <item x="233"/>
        <item x="244"/>
        <item x="238"/>
        <item x="262"/>
        <item x="299"/>
        <item x="300"/>
        <item x="264"/>
        <item x="267"/>
        <item x="263"/>
        <item x="246"/>
        <item x="376"/>
        <item x="377"/>
        <item x="232"/>
        <item x="231"/>
        <item x="209"/>
        <item x="247"/>
        <item x="273"/>
        <item x="295"/>
        <item x="249"/>
        <item x="257"/>
        <item x="69"/>
        <item x="346"/>
        <item x="403"/>
        <item t="default"/>
      </items>
    </pivotField>
    <pivotField dataField="1" showAll="0"/>
    <pivotField dataField="1" showAll="0"/>
    <pivotField dataField="1" showAll="0"/>
  </pivotFields>
  <rowFields count="1">
    <field x="5"/>
  </rowFields>
  <rowItems count="6">
    <i>
      <x v="22"/>
    </i>
    <i>
      <x v="136"/>
    </i>
    <i>
      <x v="300"/>
    </i>
    <i>
      <x v="319"/>
    </i>
    <i>
      <x v="320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" hier="-1"/>
  </pageFields>
  <dataFields count="3">
    <dataField name="Soma de Receita Mês (R$)" fld="6" baseField="0" baseItem="0"/>
    <dataField name="Soma de Receita Ano (R$)" fld="7" baseField="0" baseItem="0"/>
    <dataField name="Soma de Receita Orçada (R$)" fld="8" baseField="0" baseItem="0"/>
  </dataFields>
  <formats count="22">
    <format dxfId="16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68">
      <pivotArea outline="0" collapsedLevelsAreSubtotals="1" fieldPosition="0"/>
    </format>
    <format dxfId="167">
      <pivotArea dataOnly="0" labelOnly="1" fieldPosition="0">
        <references count="1">
          <reference field="5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66">
      <pivotArea dataOnly="0" labelOnly="1" fieldPosition="0">
        <references count="1">
          <reference field="5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362"/>
          </reference>
        </references>
      </pivotArea>
    </format>
    <format dxfId="165">
      <pivotArea dataOnly="0" labelOnly="1" fieldPosition="0">
        <references count="1">
          <reference field="5" count="50"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</reference>
        </references>
      </pivotArea>
    </format>
    <format dxfId="164">
      <pivotArea dataOnly="0" labelOnly="1" fieldPosition="0">
        <references count="1">
          <reference field="5" count="50">
            <x v="149"/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</reference>
        </references>
      </pivotArea>
    </format>
    <format dxfId="163">
      <pivotArea dataOnly="0" labelOnly="1" fieldPosition="0">
        <references count="1">
          <reference field="5" count="50">
            <x v="199"/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</reference>
        </references>
      </pivotArea>
    </format>
    <format dxfId="162">
      <pivotArea dataOnly="0" labelOnly="1" fieldPosition="0">
        <references count="1">
          <reference field="5" count="50">
            <x v="249"/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</reference>
        </references>
      </pivotArea>
    </format>
    <format dxfId="161">
      <pivotArea dataOnly="0" labelOnly="1" fieldPosition="0">
        <references count="1">
          <reference field="5" count="50">
            <x v="299"/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160">
      <pivotArea dataOnly="0" labelOnly="1" fieldPosition="0">
        <references count="1">
          <reference field="5" count="50">
            <x v="320"/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159">
      <pivotArea dataOnly="0" labelOnly="1" fieldPosition="0">
        <references count="1">
          <reference field="5" count="4">
            <x v="400"/>
            <x v="401"/>
            <x v="402"/>
            <x v="403"/>
          </reference>
        </references>
      </pivotArea>
    </format>
    <format dxfId="158">
      <pivotArea dataOnly="0" labelOnly="1" grandRow="1" outline="0" fieldPosition="0"/>
    </format>
    <format dxfId="157">
      <pivotArea field="5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56">
      <pivotArea collapsedLevelsAreSubtotals="1" fieldPosition="0">
        <references count="1">
          <reference field="5" count="403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  <x v="400"/>
            <x v="401"/>
            <x v="402"/>
          </reference>
        </references>
      </pivotArea>
    </format>
    <format dxfId="155">
      <pivotArea grandRow="1" outline="0" collapsedLevelsAreSubtotals="1" fieldPosition="0"/>
    </format>
    <format dxfId="15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53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52">
      <pivotArea field="5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151">
      <pivotArea field="5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50">
      <pivotArea dataOnly="0" labelOnly="1" fieldPosition="0">
        <references count="1">
          <reference field="5" count="1">
            <x v="321"/>
          </reference>
        </references>
      </pivotArea>
    </format>
    <format dxfId="149">
      <pivotArea dataOnly="0" labelOnly="1" fieldPosition="0">
        <references count="1">
          <reference field="5" count="1">
            <x v="322"/>
          </reference>
        </references>
      </pivotArea>
    </format>
    <format dxfId="148">
      <pivotArea dataOnly="0" labelOnly="1" fieldPosition="0">
        <references count="1">
          <reference field="5" count="1">
            <x v="362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74B937-84D7-4496-BE9A-D005C3B3A081}" name="Tabela dinâmica1" cacheId="5" applyNumberFormats="0" applyBorderFormats="0" applyFontFormats="0" applyPatternFormats="0" applyAlignmentFormats="0" applyWidthHeightFormats="1" dataCaption="Valores" updatedVersion="6" minRefreshableVersion="3" useAutoFormatting="1" itemPrintTitles="1" mergeItem="1" createdVersion="6" indent="0" outline="1" outlineData="1" multipleFieldFilters="0" chartFormat="10">
  <location ref="A3:B9" firstHeaderRow="1" firstDataRow="1" firstDataCol="1" rowPageCount="1" colPageCount="1"/>
  <pivotFields count="9">
    <pivotField showAll="0"/>
    <pivotField showAll="0"/>
    <pivotField axis="axisPage" multipleItemSelectionAllowed="1" showAll="0">
      <items count="425">
        <item x="1"/>
        <item x="55"/>
        <item x="61"/>
        <item x="213"/>
        <item x="318"/>
        <item h="1" x="379"/>
        <item h="1" x="0"/>
        <item h="1" x="380"/>
        <item h="1" x="386"/>
        <item h="1" x="391"/>
        <item h="1" x="412"/>
        <item h="1" x="413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6"/>
        <item h="1" x="57"/>
        <item h="1" x="58"/>
        <item h="1" x="59"/>
        <item h="1" x="60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h="1" x="368"/>
        <item h="1" x="369"/>
        <item h="1" x="370"/>
        <item h="1" x="371"/>
        <item h="1" x="372"/>
        <item h="1" x="373"/>
        <item h="1" x="374"/>
        <item h="1" x="375"/>
        <item h="1" x="376"/>
        <item h="1" x="377"/>
        <item h="1" x="378"/>
        <item h="1" x="381"/>
        <item h="1" x="382"/>
        <item h="1" x="383"/>
        <item h="1" x="384"/>
        <item h="1" x="385"/>
        <item h="1" x="387"/>
        <item h="1" x="388"/>
        <item h="1" x="389"/>
        <item h="1" x="390"/>
        <item h="1" x="392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h="1" x="402"/>
        <item h="1" x="403"/>
        <item h="1" x="404"/>
        <item h="1" x="405"/>
        <item h="1" x="406"/>
        <item h="1" x="407"/>
        <item h="1" x="408"/>
        <item h="1" x="409"/>
        <item h="1" x="410"/>
        <item h="1" x="411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t="default"/>
      </items>
    </pivotField>
    <pivotField showAll="0"/>
    <pivotField showAll="0"/>
    <pivotField axis="axisRow" showAll="0">
      <items count="405">
        <item x="403"/>
        <item x="346"/>
        <item x="69"/>
        <item x="257"/>
        <item x="249"/>
        <item x="295"/>
        <item x="273"/>
        <item x="247"/>
        <item x="209"/>
        <item x="231"/>
        <item x="232"/>
        <item x="377"/>
        <item x="376"/>
        <item x="246"/>
        <item x="263"/>
        <item x="267"/>
        <item x="264"/>
        <item x="300"/>
        <item x="299"/>
        <item x="262"/>
        <item x="238"/>
        <item x="244"/>
        <item x="233"/>
        <item x="236"/>
        <item x="242"/>
        <item x="378"/>
        <item x="259"/>
        <item x="261"/>
        <item x="260"/>
        <item x="298"/>
        <item x="387"/>
        <item x="291"/>
        <item x="296"/>
        <item x="281"/>
        <item x="380"/>
        <item x="280"/>
        <item x="286"/>
        <item x="268"/>
        <item x="375"/>
        <item x="219"/>
        <item x="208"/>
        <item x="207"/>
        <item x="271"/>
        <item x="248"/>
        <item x="266"/>
        <item x="31"/>
        <item x="44"/>
        <item x="41"/>
        <item x="32"/>
        <item x="30"/>
        <item x="39"/>
        <item x="35"/>
        <item x="33"/>
        <item x="38"/>
        <item x="36"/>
        <item x="34"/>
        <item x="42"/>
        <item x="46"/>
        <item x="40"/>
        <item x="45"/>
        <item x="47"/>
        <item x="37"/>
        <item x="239"/>
        <item x="240"/>
        <item x="241"/>
        <item x="234"/>
        <item x="237"/>
        <item x="379"/>
        <item x="284"/>
        <item x="283"/>
        <item x="282"/>
        <item x="285"/>
        <item x="235"/>
        <item x="243"/>
        <item x="362"/>
        <item x="335"/>
        <item x="337"/>
        <item x="336"/>
        <item x="385"/>
        <item x="345"/>
        <item x="71"/>
        <item x="365"/>
        <item x="0"/>
        <item x="1"/>
        <item x="308"/>
        <item x="67"/>
        <item x="65"/>
        <item x="270"/>
        <item x="258"/>
        <item x="250"/>
        <item x="256"/>
        <item x="255"/>
        <item x="253"/>
        <item x="254"/>
        <item x="252"/>
        <item x="251"/>
        <item x="390"/>
        <item x="274"/>
        <item x="290"/>
        <item x="269"/>
        <item x="388"/>
        <item x="288"/>
        <item x="340"/>
        <item x="339"/>
        <item x="368"/>
        <item x="334"/>
        <item x="367"/>
        <item x="366"/>
        <item x="369"/>
        <item x="370"/>
        <item x="327"/>
        <item x="328"/>
        <item x="329"/>
        <item x="322"/>
        <item x="311"/>
        <item x="317"/>
        <item x="319"/>
        <item x="310"/>
        <item x="312"/>
        <item x="315"/>
        <item x="313"/>
        <item x="314"/>
        <item x="316"/>
        <item x="325"/>
        <item x="326"/>
        <item x="324"/>
        <item x="364"/>
        <item x="309"/>
        <item x="265"/>
        <item x="70"/>
        <item x="318"/>
        <item x="83"/>
        <item x="202"/>
        <item x="201"/>
        <item x="169"/>
        <item x="200"/>
        <item x="203"/>
        <item x="111"/>
        <item x="143"/>
        <item x="117"/>
        <item x="118"/>
        <item x="116"/>
        <item x="106"/>
        <item x="174"/>
        <item x="74"/>
        <item x="170"/>
        <item x="76"/>
        <item x="77"/>
        <item x="87"/>
        <item x="173"/>
        <item x="102"/>
        <item x="158"/>
        <item x="95"/>
        <item x="78"/>
        <item x="96"/>
        <item x="141"/>
        <item x="121"/>
        <item x="145"/>
        <item x="129"/>
        <item x="178"/>
        <item x="108"/>
        <item x="166"/>
        <item x="82"/>
        <item x="130"/>
        <item x="97"/>
        <item x="89"/>
        <item x="75"/>
        <item x="99"/>
        <item x="80"/>
        <item x="125"/>
        <item x="101"/>
        <item x="98"/>
        <item x="100"/>
        <item x="107"/>
        <item x="92"/>
        <item x="179"/>
        <item x="73"/>
        <item x="93"/>
        <item x="110"/>
        <item x="103"/>
        <item x="91"/>
        <item x="163"/>
        <item x="153"/>
        <item x="86"/>
        <item x="165"/>
        <item x="162"/>
        <item x="164"/>
        <item x="133"/>
        <item x="84"/>
        <item x="72"/>
        <item x="90"/>
        <item x="147"/>
        <item x="168"/>
        <item x="144"/>
        <item x="127"/>
        <item x="128"/>
        <item x="132"/>
        <item x="148"/>
        <item x="193"/>
        <item x="157"/>
        <item x="161"/>
        <item x="160"/>
        <item x="156"/>
        <item x="177"/>
        <item x="185"/>
        <item x="186"/>
        <item x="172"/>
        <item x="171"/>
        <item x="175"/>
        <item x="187"/>
        <item x="195"/>
        <item x="189"/>
        <item x="192"/>
        <item x="194"/>
        <item x="188"/>
        <item x="191"/>
        <item x="181"/>
        <item x="183"/>
        <item x="180"/>
        <item x="182"/>
        <item x="190"/>
        <item x="196"/>
        <item x="199"/>
        <item x="198"/>
        <item x="197"/>
        <item x="176"/>
        <item x="152"/>
        <item x="120"/>
        <item x="119"/>
        <item x="137"/>
        <item x="112"/>
        <item x="104"/>
        <item x="85"/>
        <item x="139"/>
        <item x="138"/>
        <item x="134"/>
        <item x="124"/>
        <item x="135"/>
        <item x="146"/>
        <item x="142"/>
        <item x="167"/>
        <item x="151"/>
        <item x="150"/>
        <item x="154"/>
        <item x="126"/>
        <item x="122"/>
        <item x="159"/>
        <item x="136"/>
        <item x="155"/>
        <item x="109"/>
        <item x="149"/>
        <item x="88"/>
        <item x="81"/>
        <item x="79"/>
        <item x="131"/>
        <item x="204"/>
        <item x="114"/>
        <item x="140"/>
        <item x="123"/>
        <item x="115"/>
        <item x="94"/>
        <item x="113"/>
        <item x="105"/>
        <item x="184"/>
        <item x="332"/>
        <item x="333"/>
        <item x="10"/>
        <item x="21"/>
        <item x="3"/>
        <item x="13"/>
        <item x="20"/>
        <item x="2"/>
        <item x="11"/>
        <item x="12"/>
        <item x="25"/>
        <item x="26"/>
        <item x="23"/>
        <item x="27"/>
        <item x="24"/>
        <item x="22"/>
        <item x="29"/>
        <item x="28"/>
        <item x="16"/>
        <item x="17"/>
        <item x="15"/>
        <item x="19"/>
        <item x="18"/>
        <item x="14"/>
        <item x="6"/>
        <item x="5"/>
        <item x="7"/>
        <item x="9"/>
        <item x="8"/>
        <item x="4"/>
        <item x="347"/>
        <item x="361"/>
        <item x="352"/>
        <item x="343"/>
        <item x="356"/>
        <item x="357"/>
        <item x="353"/>
        <item x="48"/>
        <item x="43"/>
        <item x="351"/>
        <item x="350"/>
        <item x="359"/>
        <item x="349"/>
        <item x="354"/>
        <item x="341"/>
        <item x="348"/>
        <item x="294"/>
        <item x="292"/>
        <item x="293"/>
        <item x="342"/>
        <item x="302"/>
        <item x="306"/>
        <item x="305"/>
        <item x="304"/>
        <item x="303"/>
        <item x="301"/>
        <item x="307"/>
        <item x="63"/>
        <item x="62"/>
        <item x="58"/>
        <item x="386"/>
        <item x="382"/>
        <item x="358"/>
        <item x="206"/>
        <item x="205"/>
        <item x="363"/>
        <item x="320"/>
        <item x="321"/>
        <item x="323"/>
        <item x="344"/>
        <item x="331"/>
        <item x="330"/>
        <item x="355"/>
        <item x="338"/>
        <item x="398"/>
        <item x="395"/>
        <item x="397"/>
        <item x="401"/>
        <item x="402"/>
        <item x="400"/>
        <item x="396"/>
        <item x="392"/>
        <item x="394"/>
        <item x="393"/>
        <item x="228"/>
        <item x="226"/>
        <item x="227"/>
        <item x="276"/>
        <item x="277"/>
        <item x="278"/>
        <item x="218"/>
        <item x="217"/>
        <item x="275"/>
        <item x="230"/>
        <item x="229"/>
        <item x="210"/>
        <item x="212"/>
        <item x="211"/>
        <item x="215"/>
        <item x="213"/>
        <item x="216"/>
        <item x="214"/>
        <item x="279"/>
        <item x="225"/>
        <item x="224"/>
        <item x="222"/>
        <item x="220"/>
        <item x="223"/>
        <item x="221"/>
        <item x="287"/>
        <item x="297"/>
        <item x="383"/>
        <item x="384"/>
        <item x="389"/>
        <item x="289"/>
        <item x="381"/>
        <item x="53"/>
        <item x="55"/>
        <item x="56"/>
        <item x="54"/>
        <item x="51"/>
        <item x="52"/>
        <item x="50"/>
        <item x="49"/>
        <item x="64"/>
        <item x="66"/>
        <item x="68"/>
        <item x="272"/>
        <item x="391"/>
        <item x="360"/>
        <item x="245"/>
        <item x="59"/>
        <item x="60"/>
        <item x="61"/>
        <item x="374"/>
        <item x="373"/>
        <item x="372"/>
        <item x="371"/>
        <item x="399"/>
        <item x="57"/>
        <item t="default"/>
      </items>
    </pivotField>
    <pivotField dataField="1" showAll="0"/>
    <pivotField showAll="0"/>
    <pivotField showAll="0"/>
  </pivotFields>
  <rowFields count="1">
    <field x="5"/>
  </rowFields>
  <rowItems count="6">
    <i>
      <x v="41"/>
    </i>
    <i>
      <x v="83"/>
    </i>
    <i>
      <x v="84"/>
    </i>
    <i>
      <x v="380"/>
    </i>
    <i>
      <x v="403"/>
    </i>
    <i t="grand">
      <x/>
    </i>
  </rowItems>
  <colItems count="1">
    <i/>
  </colItems>
  <pageFields count="1">
    <pageField fld="2" hier="-1"/>
  </pageFields>
  <dataFields count="1">
    <dataField name="Soma de Receita Mês (R$)" fld="6" baseField="0" baseItem="0"/>
  </dataFields>
  <formats count="18">
    <format dxfId="9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5">
      <pivotArea outline="0" collapsedLevelsAreSubtotals="1" fieldPosition="0"/>
    </format>
    <format dxfId="96">
      <pivotArea dataOnly="0" labelOnly="1" fieldPosition="0">
        <references count="1">
          <reference field="5" count="50"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  <x v="400"/>
            <x v="401"/>
            <x v="402"/>
          </reference>
        </references>
      </pivotArea>
    </format>
    <format dxfId="97">
      <pivotArea dataOnly="0" labelOnly="1" fieldPosition="0">
        <references count="1">
          <reference field="5" count="50"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  <x v="350"/>
            <x v="351"/>
            <x v="352"/>
          </reference>
        </references>
      </pivotArea>
    </format>
    <format dxfId="98">
      <pivotArea dataOnly="0" labelOnly="1" fieldPosition="0">
        <references count="1">
          <reference field="5" count="50">
            <x v="8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  <x v="300"/>
            <x v="301"/>
            <x v="302"/>
          </reference>
        </references>
      </pivotArea>
    </format>
    <format dxfId="99">
      <pivotArea dataOnly="0" labelOnly="1" fieldPosition="0">
        <references count="1">
          <reference field="5" count="50"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  <x v="250"/>
            <x v="251"/>
            <x v="252"/>
            <x v="253"/>
          </reference>
        </references>
      </pivotArea>
    </format>
    <format dxfId="100">
      <pivotArea dataOnly="0" labelOnly="1" fieldPosition="0">
        <references count="1">
          <reference field="5" count="50"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  <x v="200"/>
            <x v="201"/>
            <x v="202"/>
            <x v="203"/>
          </reference>
        </references>
      </pivotArea>
    </format>
    <format dxfId="101">
      <pivotArea dataOnly="0" labelOnly="1" fieldPosition="0">
        <references count="1">
          <reference field="5" count="50"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  <x v="152"/>
            <x v="153"/>
          </reference>
        </references>
      </pivotArea>
    </format>
    <format dxfId="102">
      <pivotArea dataOnly="0" labelOnly="1" fieldPosition="0">
        <references count="1">
          <reference field="5" count="50"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403"/>
          </reference>
        </references>
      </pivotArea>
    </format>
    <format dxfId="103">
      <pivotArea dataOnly="0" labelOnly="1" fieldPosition="0">
        <references count="1">
          <reference field="5" count="5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</reference>
        </references>
      </pivotArea>
    </format>
    <format dxfId="104">
      <pivotArea dataOnly="0" labelOnly="1" fieldPosition="0">
        <references count="1">
          <reference field="5" count="4">
            <x v="0"/>
            <x v="1"/>
            <x v="2"/>
            <x v="3"/>
          </reference>
        </references>
      </pivotArea>
    </format>
    <format dxfId="105">
      <pivotArea dataOnly="0" labelOnly="1" grandRow="1" outline="0" fieldPosition="0"/>
    </format>
    <format dxfId="106">
      <pivotArea field="5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07">
      <pivotArea collapsedLevelsAreSubtotals="1" fieldPosition="0">
        <references count="1">
          <reference field="5" count="403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  <x v="400"/>
            <x v="401"/>
            <x v="402"/>
            <x v="403"/>
          </reference>
        </references>
      </pivotArea>
    </format>
    <format dxfId="108">
      <pivotArea grandRow="1" outline="0" collapsedLevelsAreSubtotals="1" fieldPosition="0"/>
    </format>
    <format dxfId="109">
      <pivotArea dataOnly="0" labelOnly="1" fieldPosition="0">
        <references count="1">
          <reference field="5" count="1">
            <x v="82"/>
          </reference>
        </references>
      </pivotArea>
    </format>
    <format dxfId="110">
      <pivotArea dataOnly="0" labelOnly="1" fieldPosition="0">
        <references count="1">
          <reference field="5" count="1">
            <x v="81"/>
          </reference>
        </references>
      </pivotArea>
    </format>
    <format dxfId="111">
      <pivotArea dataOnly="0" labelOnly="1" fieldPosition="0">
        <references count="1">
          <reference field="5" count="1">
            <x v="345"/>
          </reference>
        </references>
      </pivotArea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83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8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I424" totalsRowShown="0">
  <autoFilter ref="A1:I424" xr:uid="{00000000-0009-0000-0100-000001000000}"/>
  <tableColumns count="9">
    <tableColumn id="1" xr3:uid="{00000000-0010-0000-0000-000001000000}" name="Ano"/>
    <tableColumn id="2" xr3:uid="{00000000-0010-0000-0000-000002000000}" name="Mês"/>
    <tableColumn id="3" xr3:uid="{00000000-0010-0000-0000-000003000000}" name="Classificação" dataDxfId="173"/>
    <tableColumn id="4" xr3:uid="{00000000-0010-0000-0000-000004000000}" name="Fonte"/>
    <tableColumn id="5" xr3:uid="{00000000-0010-0000-0000-000005000000}" name="Rubrica"/>
    <tableColumn id="6" xr3:uid="{00000000-0010-0000-0000-000006000000}" name="Receita"/>
    <tableColumn id="7" xr3:uid="{00000000-0010-0000-0000-000007000000}" name="Receita Mês (R$)" dataDxfId="172"/>
    <tableColumn id="8" xr3:uid="{00000000-0010-0000-0000-000008000000}" name="Receita Ano (R$)" dataDxfId="171"/>
    <tableColumn id="9" xr3:uid="{00000000-0010-0000-0000-000009000000}" name="Receita Orçada (R$)" dataDxfId="17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59999389629810485"/>
  </sheetPr>
  <dimension ref="A1:I424"/>
  <sheetViews>
    <sheetView zoomScale="70" zoomScaleNormal="70" workbookViewId="0">
      <selection activeCell="F3" sqref="F3"/>
    </sheetView>
  </sheetViews>
  <sheetFormatPr defaultRowHeight="15" x14ac:dyDescent="0.25"/>
  <cols>
    <col min="3" max="3" width="41.28515625" customWidth="1"/>
    <col min="5" max="5" width="29.28515625" customWidth="1"/>
    <col min="6" max="6" width="189" bestFit="1" customWidth="1"/>
    <col min="7" max="7" width="17.85546875" customWidth="1"/>
    <col min="8" max="8" width="17.7109375" customWidth="1"/>
    <col min="9" max="9" width="20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2026</v>
      </c>
      <c r="B2">
        <v>3</v>
      </c>
      <c r="C2" s="1" t="s">
        <v>418</v>
      </c>
      <c r="F2" t="s">
        <v>9</v>
      </c>
      <c r="G2" s="11">
        <v>110805623.02</v>
      </c>
      <c r="H2" s="11">
        <v>1093623405.1400001</v>
      </c>
      <c r="I2" s="11">
        <v>4773581000</v>
      </c>
    </row>
    <row r="3" spans="1:9" x14ac:dyDescent="0.25">
      <c r="A3">
        <v>2026</v>
      </c>
      <c r="B3">
        <v>3</v>
      </c>
      <c r="C3" s="1" t="s">
        <v>419</v>
      </c>
      <c r="F3" t="s">
        <v>10</v>
      </c>
      <c r="G3" s="11">
        <v>12330121.74</v>
      </c>
      <c r="H3" s="11">
        <v>430747358.54000002</v>
      </c>
      <c r="I3" s="11">
        <v>1624916000</v>
      </c>
    </row>
    <row r="4" spans="1:9" x14ac:dyDescent="0.25">
      <c r="A4">
        <v>2026</v>
      </c>
      <c r="B4">
        <v>3</v>
      </c>
      <c r="C4" s="1" t="s">
        <v>420</v>
      </c>
      <c r="F4" t="s">
        <v>11</v>
      </c>
      <c r="G4" s="11">
        <v>11328069.66</v>
      </c>
      <c r="H4" s="11">
        <v>403883640.11000001</v>
      </c>
      <c r="I4" s="11">
        <v>1575764000</v>
      </c>
    </row>
    <row r="5" spans="1:9" x14ac:dyDescent="0.25">
      <c r="A5">
        <v>2026</v>
      </c>
      <c r="B5">
        <v>3</v>
      </c>
      <c r="C5" s="1" t="s">
        <v>421</v>
      </c>
      <c r="F5" t="s">
        <v>12</v>
      </c>
      <c r="G5" s="11">
        <v>7695960.7800000003</v>
      </c>
      <c r="H5" s="11">
        <v>231198583.31</v>
      </c>
      <c r="I5" s="11">
        <v>595860000</v>
      </c>
    </row>
    <row r="6" spans="1:9" x14ac:dyDescent="0.25">
      <c r="A6">
        <v>2026</v>
      </c>
      <c r="B6">
        <v>3</v>
      </c>
      <c r="C6" s="1" t="s">
        <v>422</v>
      </c>
      <c r="F6" t="s">
        <v>13</v>
      </c>
      <c r="G6" s="11">
        <v>5729901.9400000004</v>
      </c>
      <c r="H6" s="11">
        <v>214299367.53</v>
      </c>
      <c r="I6" s="11">
        <v>474341000</v>
      </c>
    </row>
    <row r="7" spans="1:9" x14ac:dyDescent="0.25">
      <c r="A7">
        <v>2026</v>
      </c>
      <c r="B7">
        <v>3</v>
      </c>
      <c r="C7" s="1" t="s">
        <v>423</v>
      </c>
      <c r="D7">
        <v>1</v>
      </c>
      <c r="E7">
        <v>19</v>
      </c>
      <c r="F7" t="s">
        <v>14</v>
      </c>
      <c r="G7" s="11">
        <v>3045637.17</v>
      </c>
      <c r="H7" s="11">
        <v>142005824.87</v>
      </c>
      <c r="I7" s="11">
        <v>301075000</v>
      </c>
    </row>
    <row r="8" spans="1:9" x14ac:dyDescent="0.25">
      <c r="A8">
        <v>2026</v>
      </c>
      <c r="B8">
        <v>3</v>
      </c>
      <c r="C8" s="1" t="s">
        <v>424</v>
      </c>
      <c r="D8">
        <v>1</v>
      </c>
      <c r="E8">
        <v>27</v>
      </c>
      <c r="F8" t="s">
        <v>15</v>
      </c>
      <c r="G8" s="11">
        <v>799271.4</v>
      </c>
      <c r="H8" s="11">
        <v>57070929.509999998</v>
      </c>
      <c r="I8" s="11">
        <v>101642000</v>
      </c>
    </row>
    <row r="9" spans="1:9" x14ac:dyDescent="0.25">
      <c r="A9">
        <v>2026</v>
      </c>
      <c r="B9">
        <v>3</v>
      </c>
      <c r="C9" s="1" t="s">
        <v>425</v>
      </c>
      <c r="D9">
        <v>1</v>
      </c>
      <c r="E9">
        <v>1620</v>
      </c>
      <c r="F9" t="s">
        <v>16</v>
      </c>
      <c r="G9" s="11">
        <v>39021</v>
      </c>
      <c r="H9" s="11">
        <v>686485.6</v>
      </c>
      <c r="I9" s="11">
        <v>1943000</v>
      </c>
    </row>
    <row r="10" spans="1:9" x14ac:dyDescent="0.25">
      <c r="A10">
        <v>2026</v>
      </c>
      <c r="B10">
        <v>3</v>
      </c>
      <c r="C10" s="1" t="s">
        <v>426</v>
      </c>
      <c r="D10">
        <v>1</v>
      </c>
      <c r="E10">
        <v>2410</v>
      </c>
      <c r="F10" t="s">
        <v>17</v>
      </c>
      <c r="G10" s="11">
        <v>1609724.49</v>
      </c>
      <c r="H10" s="11">
        <v>13270158.09</v>
      </c>
      <c r="I10" s="11">
        <v>60571000</v>
      </c>
    </row>
    <row r="11" spans="1:9" x14ac:dyDescent="0.25">
      <c r="A11">
        <v>2026</v>
      </c>
      <c r="B11">
        <v>3</v>
      </c>
      <c r="C11" s="1" t="s">
        <v>427</v>
      </c>
      <c r="D11">
        <v>1</v>
      </c>
      <c r="E11">
        <v>1670</v>
      </c>
      <c r="F11" t="s">
        <v>18</v>
      </c>
      <c r="G11" s="11">
        <v>236247.88</v>
      </c>
      <c r="H11" s="11">
        <v>1265969.46</v>
      </c>
      <c r="I11" s="11">
        <v>9110000</v>
      </c>
    </row>
    <row r="12" spans="1:9" x14ac:dyDescent="0.25">
      <c r="A12">
        <v>2026</v>
      </c>
      <c r="B12">
        <v>3</v>
      </c>
      <c r="C12" s="1" t="s">
        <v>428</v>
      </c>
      <c r="F12" t="s">
        <v>19</v>
      </c>
      <c r="G12" s="11">
        <v>1966058.84</v>
      </c>
      <c r="H12" s="11">
        <v>16899215.780000001</v>
      </c>
      <c r="I12" s="11">
        <v>121519000</v>
      </c>
    </row>
    <row r="13" spans="1:9" x14ac:dyDescent="0.25">
      <c r="A13">
        <v>2026</v>
      </c>
      <c r="B13">
        <v>3</v>
      </c>
      <c r="C13" s="1" t="s">
        <v>429</v>
      </c>
      <c r="D13">
        <v>1</v>
      </c>
      <c r="E13">
        <v>248</v>
      </c>
      <c r="F13" t="s">
        <v>20</v>
      </c>
      <c r="G13" s="11">
        <v>1965938.84</v>
      </c>
      <c r="H13" s="11">
        <v>16897471.870000001</v>
      </c>
      <c r="I13" s="11">
        <v>121485000</v>
      </c>
    </row>
    <row r="14" spans="1:9" x14ac:dyDescent="0.25">
      <c r="A14">
        <v>2026</v>
      </c>
      <c r="B14">
        <v>3</v>
      </c>
      <c r="C14" s="1" t="s">
        <v>430</v>
      </c>
      <c r="D14">
        <v>1</v>
      </c>
      <c r="E14">
        <v>1650</v>
      </c>
      <c r="F14" t="s">
        <v>21</v>
      </c>
      <c r="G14" s="11">
        <v>120</v>
      </c>
      <c r="H14" s="11">
        <v>1743.91</v>
      </c>
      <c r="I14" s="11">
        <v>34000</v>
      </c>
    </row>
    <row r="15" spans="1:9" x14ac:dyDescent="0.25">
      <c r="A15">
        <v>2026</v>
      </c>
      <c r="B15">
        <v>3</v>
      </c>
      <c r="C15" s="1" t="s">
        <v>431</v>
      </c>
      <c r="F15" t="s">
        <v>22</v>
      </c>
      <c r="G15" s="11">
        <v>656826.31000000006</v>
      </c>
      <c r="H15" s="11">
        <v>26084624.43</v>
      </c>
      <c r="I15" s="11">
        <v>262009000</v>
      </c>
    </row>
    <row r="16" spans="1:9" x14ac:dyDescent="0.25">
      <c r="A16">
        <v>2026</v>
      </c>
      <c r="B16">
        <v>3</v>
      </c>
      <c r="C16" s="1" t="s">
        <v>432</v>
      </c>
      <c r="F16" t="s">
        <v>23</v>
      </c>
      <c r="G16" s="11">
        <v>656826.31000000006</v>
      </c>
      <c r="H16" s="11">
        <v>26084624.43</v>
      </c>
      <c r="I16" s="11">
        <v>262009000</v>
      </c>
    </row>
    <row r="17" spans="1:9" x14ac:dyDescent="0.25">
      <c r="A17">
        <v>2026</v>
      </c>
      <c r="B17">
        <v>3</v>
      </c>
      <c r="C17" s="1" t="s">
        <v>433</v>
      </c>
      <c r="F17" t="s">
        <v>24</v>
      </c>
      <c r="G17" s="11">
        <v>250.45</v>
      </c>
      <c r="H17" s="11">
        <v>17616342.100000001</v>
      </c>
      <c r="I17" s="11">
        <v>208151000</v>
      </c>
    </row>
    <row r="18" spans="1:9" x14ac:dyDescent="0.25">
      <c r="A18">
        <v>2026</v>
      </c>
      <c r="B18">
        <v>3</v>
      </c>
      <c r="C18" s="1" t="s">
        <v>434</v>
      </c>
      <c r="D18">
        <v>1</v>
      </c>
      <c r="E18">
        <v>1141</v>
      </c>
      <c r="F18" t="s">
        <v>25</v>
      </c>
      <c r="G18" s="11">
        <v>250.45</v>
      </c>
      <c r="H18" s="11">
        <v>17616342.100000001</v>
      </c>
      <c r="I18" s="11">
        <v>119320000</v>
      </c>
    </row>
    <row r="19" spans="1:9" x14ac:dyDescent="0.25">
      <c r="A19">
        <v>2026</v>
      </c>
      <c r="B19">
        <v>3</v>
      </c>
      <c r="C19" s="1" t="s">
        <v>435</v>
      </c>
      <c r="D19">
        <v>1</v>
      </c>
      <c r="E19">
        <v>2016</v>
      </c>
      <c r="F19" t="s">
        <v>26</v>
      </c>
      <c r="G19" s="11">
        <v>0</v>
      </c>
      <c r="H19" s="11">
        <v>0</v>
      </c>
      <c r="I19" s="11">
        <v>88831000</v>
      </c>
    </row>
    <row r="20" spans="1:9" x14ac:dyDescent="0.25">
      <c r="A20">
        <v>2026</v>
      </c>
      <c r="B20">
        <v>3</v>
      </c>
      <c r="C20" s="1" t="s">
        <v>436</v>
      </c>
      <c r="F20" t="s">
        <v>27</v>
      </c>
      <c r="G20" s="11">
        <v>656575.86</v>
      </c>
      <c r="H20" s="11">
        <v>8468282.3300000001</v>
      </c>
      <c r="I20" s="11">
        <v>53858000</v>
      </c>
    </row>
    <row r="21" spans="1:9" x14ac:dyDescent="0.25">
      <c r="A21">
        <v>2026</v>
      </c>
      <c r="B21">
        <v>3</v>
      </c>
      <c r="C21" s="1" t="s">
        <v>437</v>
      </c>
      <c r="D21">
        <v>1</v>
      </c>
      <c r="E21">
        <v>2018</v>
      </c>
      <c r="F21" t="s">
        <v>28</v>
      </c>
      <c r="G21" s="11">
        <v>656575.86</v>
      </c>
      <c r="H21" s="11">
        <v>8468282.3300000001</v>
      </c>
      <c r="I21" s="11">
        <v>53858000</v>
      </c>
    </row>
    <row r="22" spans="1:9" x14ac:dyDescent="0.25">
      <c r="A22">
        <v>2026</v>
      </c>
      <c r="B22">
        <v>3</v>
      </c>
      <c r="C22" s="1" t="s">
        <v>438</v>
      </c>
      <c r="F22" t="s">
        <v>29</v>
      </c>
      <c r="G22" s="11">
        <v>2975282.57</v>
      </c>
      <c r="H22" s="11">
        <v>146600432.37</v>
      </c>
      <c r="I22" s="11">
        <v>717895000</v>
      </c>
    </row>
    <row r="23" spans="1:9" x14ac:dyDescent="0.25">
      <c r="A23">
        <v>2026</v>
      </c>
      <c r="B23">
        <v>3</v>
      </c>
      <c r="C23" s="1" t="s">
        <v>439</v>
      </c>
      <c r="F23" t="s">
        <v>30</v>
      </c>
      <c r="G23" s="11">
        <v>2975282.57</v>
      </c>
      <c r="H23" s="11">
        <v>146600432.37</v>
      </c>
      <c r="I23" s="11">
        <v>717895000</v>
      </c>
    </row>
    <row r="24" spans="1:9" x14ac:dyDescent="0.25">
      <c r="A24">
        <v>2026</v>
      </c>
      <c r="B24">
        <v>3</v>
      </c>
      <c r="C24" s="1" t="s">
        <v>440</v>
      </c>
      <c r="F24" t="s">
        <v>31</v>
      </c>
      <c r="G24" s="11">
        <v>2975282.57</v>
      </c>
      <c r="H24" s="11">
        <v>146600432.37</v>
      </c>
      <c r="I24" s="11">
        <v>717895000</v>
      </c>
    </row>
    <row r="25" spans="1:9" x14ac:dyDescent="0.25">
      <c r="A25">
        <v>2026</v>
      </c>
      <c r="B25">
        <v>3</v>
      </c>
      <c r="C25" s="1" t="s">
        <v>441</v>
      </c>
      <c r="D25">
        <v>1</v>
      </c>
      <c r="E25">
        <v>35</v>
      </c>
      <c r="F25" t="s">
        <v>32</v>
      </c>
      <c r="G25" s="11">
        <v>1375051.05</v>
      </c>
      <c r="H25" s="11">
        <v>115962361.42</v>
      </c>
      <c r="I25" s="11">
        <v>538971000</v>
      </c>
    </row>
    <row r="26" spans="1:9" x14ac:dyDescent="0.25">
      <c r="A26">
        <v>2026</v>
      </c>
      <c r="B26">
        <v>3</v>
      </c>
      <c r="C26" s="1" t="s">
        <v>442</v>
      </c>
      <c r="D26">
        <v>1</v>
      </c>
      <c r="E26">
        <v>221</v>
      </c>
      <c r="F26" t="s">
        <v>33</v>
      </c>
      <c r="G26" s="11">
        <v>1464.48</v>
      </c>
      <c r="H26" s="11">
        <v>61955.02</v>
      </c>
      <c r="I26" s="11">
        <v>7363000</v>
      </c>
    </row>
    <row r="27" spans="1:9" x14ac:dyDescent="0.25">
      <c r="A27">
        <v>2026</v>
      </c>
      <c r="B27">
        <v>3</v>
      </c>
      <c r="C27" s="1" t="s">
        <v>443</v>
      </c>
      <c r="D27">
        <v>1</v>
      </c>
      <c r="E27">
        <v>222</v>
      </c>
      <c r="F27" t="s">
        <v>34</v>
      </c>
      <c r="G27" s="11">
        <v>977001.54</v>
      </c>
      <c r="H27" s="11">
        <v>26750534.32</v>
      </c>
      <c r="I27" s="11">
        <v>147773000</v>
      </c>
    </row>
    <row r="28" spans="1:9" x14ac:dyDescent="0.25">
      <c r="A28">
        <v>2026</v>
      </c>
      <c r="B28">
        <v>3</v>
      </c>
      <c r="C28" s="1" t="s">
        <v>444</v>
      </c>
      <c r="D28">
        <v>1</v>
      </c>
      <c r="E28">
        <v>1011</v>
      </c>
      <c r="F28" t="s">
        <v>35</v>
      </c>
      <c r="G28" s="11">
        <v>25570.68</v>
      </c>
      <c r="H28" s="11">
        <v>294439</v>
      </c>
      <c r="I28" s="11">
        <v>2914000</v>
      </c>
    </row>
    <row r="29" spans="1:9" x14ac:dyDescent="0.25">
      <c r="A29">
        <v>2026</v>
      </c>
      <c r="B29">
        <v>3</v>
      </c>
      <c r="C29" s="1" t="s">
        <v>445</v>
      </c>
      <c r="D29">
        <v>1</v>
      </c>
      <c r="E29">
        <v>1630</v>
      </c>
      <c r="F29" t="s">
        <v>36</v>
      </c>
      <c r="G29" s="11">
        <v>0</v>
      </c>
      <c r="H29" s="11">
        <v>4509.3500000000004</v>
      </c>
      <c r="I29" s="11">
        <v>72000</v>
      </c>
    </row>
    <row r="30" spans="1:9" x14ac:dyDescent="0.25">
      <c r="A30">
        <v>2026</v>
      </c>
      <c r="B30">
        <v>3</v>
      </c>
      <c r="C30" s="1" t="s">
        <v>446</v>
      </c>
      <c r="D30">
        <v>1</v>
      </c>
      <c r="E30">
        <v>2445</v>
      </c>
      <c r="F30" t="s">
        <v>37</v>
      </c>
      <c r="G30" s="11">
        <v>530416.59</v>
      </c>
      <c r="H30" s="11">
        <v>3124581.15</v>
      </c>
      <c r="I30" s="11">
        <v>18119000</v>
      </c>
    </row>
    <row r="31" spans="1:9" x14ac:dyDescent="0.25">
      <c r="A31">
        <v>2026</v>
      </c>
      <c r="B31">
        <v>3</v>
      </c>
      <c r="C31" s="1" t="s">
        <v>447</v>
      </c>
      <c r="D31">
        <v>1</v>
      </c>
      <c r="E31">
        <v>1680</v>
      </c>
      <c r="F31" t="s">
        <v>38</v>
      </c>
      <c r="G31" s="11">
        <v>65778.23</v>
      </c>
      <c r="H31" s="11">
        <v>402052.11</v>
      </c>
      <c r="I31" s="11">
        <v>2683000</v>
      </c>
    </row>
    <row r="32" spans="1:9" x14ac:dyDescent="0.25">
      <c r="A32">
        <v>2026</v>
      </c>
      <c r="B32">
        <v>3</v>
      </c>
      <c r="C32" s="1" t="s">
        <v>448</v>
      </c>
      <c r="F32" t="s">
        <v>39</v>
      </c>
      <c r="G32" s="11">
        <v>1002052.08</v>
      </c>
      <c r="H32" s="11">
        <v>26863718.43</v>
      </c>
      <c r="I32" s="11">
        <v>49150000</v>
      </c>
    </row>
    <row r="33" spans="1:9" x14ac:dyDescent="0.25">
      <c r="A33">
        <v>2026</v>
      </c>
      <c r="B33">
        <v>3</v>
      </c>
      <c r="C33" s="1" t="s">
        <v>449</v>
      </c>
      <c r="F33" t="s">
        <v>40</v>
      </c>
      <c r="G33" s="11">
        <v>114333.31</v>
      </c>
      <c r="H33" s="11">
        <v>1042171.53</v>
      </c>
      <c r="I33" s="11">
        <v>15015000</v>
      </c>
    </row>
    <row r="34" spans="1:9" x14ac:dyDescent="0.25">
      <c r="A34">
        <v>2026</v>
      </c>
      <c r="B34">
        <v>3</v>
      </c>
      <c r="C34" s="1" t="s">
        <v>450</v>
      </c>
      <c r="F34" t="s">
        <v>41</v>
      </c>
      <c r="G34" s="11">
        <v>85664.81</v>
      </c>
      <c r="H34" s="11">
        <v>919642.21</v>
      </c>
      <c r="I34" s="11">
        <v>14620000</v>
      </c>
    </row>
    <row r="35" spans="1:9" x14ac:dyDescent="0.25">
      <c r="A35">
        <v>2026</v>
      </c>
      <c r="B35">
        <v>3</v>
      </c>
      <c r="C35" s="1" t="s">
        <v>451</v>
      </c>
      <c r="D35">
        <v>1</v>
      </c>
      <c r="E35">
        <v>43</v>
      </c>
      <c r="F35" t="s">
        <v>42</v>
      </c>
      <c r="G35" s="11">
        <v>11317.5</v>
      </c>
      <c r="H35" s="11">
        <v>126173.75999999999</v>
      </c>
      <c r="I35" s="11">
        <v>101000</v>
      </c>
    </row>
    <row r="36" spans="1:9" x14ac:dyDescent="0.25">
      <c r="A36">
        <v>2026</v>
      </c>
      <c r="B36">
        <v>3</v>
      </c>
      <c r="C36" s="1" t="s">
        <v>452</v>
      </c>
      <c r="D36">
        <v>1</v>
      </c>
      <c r="E36">
        <v>51</v>
      </c>
      <c r="F36" t="s">
        <v>43</v>
      </c>
      <c r="G36" s="11">
        <v>14929.19</v>
      </c>
      <c r="H36" s="11">
        <v>163863.26999999999</v>
      </c>
      <c r="I36" s="11">
        <v>10325000</v>
      </c>
    </row>
    <row r="37" spans="1:9" x14ac:dyDescent="0.25">
      <c r="A37">
        <v>2026</v>
      </c>
      <c r="B37">
        <v>3</v>
      </c>
      <c r="C37" s="1" t="s">
        <v>453</v>
      </c>
      <c r="D37">
        <v>1</v>
      </c>
      <c r="E37">
        <v>78</v>
      </c>
      <c r="F37" t="s">
        <v>44</v>
      </c>
      <c r="G37" s="11">
        <v>0</v>
      </c>
      <c r="H37" s="11">
        <v>321.95</v>
      </c>
      <c r="I37" s="11">
        <v>59000</v>
      </c>
    </row>
    <row r="38" spans="1:9" x14ac:dyDescent="0.25">
      <c r="A38">
        <v>2026</v>
      </c>
      <c r="B38">
        <v>3</v>
      </c>
      <c r="C38" s="1" t="s">
        <v>454</v>
      </c>
      <c r="D38">
        <v>1</v>
      </c>
      <c r="E38">
        <v>86</v>
      </c>
      <c r="F38" t="s">
        <v>45</v>
      </c>
      <c r="G38" s="11">
        <v>44802.95</v>
      </c>
      <c r="H38" s="11">
        <v>521638.88</v>
      </c>
      <c r="I38" s="11">
        <v>3399000</v>
      </c>
    </row>
    <row r="39" spans="1:9" x14ac:dyDescent="0.25">
      <c r="A39">
        <v>2026</v>
      </c>
      <c r="B39">
        <v>3</v>
      </c>
      <c r="C39" s="1" t="s">
        <v>455</v>
      </c>
      <c r="D39">
        <v>1</v>
      </c>
      <c r="E39">
        <v>94</v>
      </c>
      <c r="F39" t="s">
        <v>46</v>
      </c>
      <c r="G39" s="11">
        <v>0</v>
      </c>
      <c r="H39" s="11">
        <v>2576.3200000000002</v>
      </c>
      <c r="I39" s="11">
        <v>368000</v>
      </c>
    </row>
    <row r="40" spans="1:9" x14ac:dyDescent="0.25">
      <c r="A40">
        <v>2026</v>
      </c>
      <c r="B40">
        <v>3</v>
      </c>
      <c r="C40" s="1" t="s">
        <v>456</v>
      </c>
      <c r="D40">
        <v>1</v>
      </c>
      <c r="E40">
        <v>108</v>
      </c>
      <c r="F40" t="s">
        <v>47</v>
      </c>
      <c r="G40" s="11">
        <v>13986.42</v>
      </c>
      <c r="H40" s="11">
        <v>89569.72</v>
      </c>
      <c r="I40" s="11">
        <v>112000</v>
      </c>
    </row>
    <row r="41" spans="1:9" x14ac:dyDescent="0.25">
      <c r="A41">
        <v>2026</v>
      </c>
      <c r="B41">
        <v>3</v>
      </c>
      <c r="C41" s="1" t="s">
        <v>457</v>
      </c>
      <c r="D41">
        <v>1</v>
      </c>
      <c r="E41">
        <v>120</v>
      </c>
      <c r="F41" t="s">
        <v>48</v>
      </c>
      <c r="G41" s="11">
        <v>0</v>
      </c>
      <c r="H41" s="11">
        <v>0</v>
      </c>
      <c r="I41" s="11">
        <v>40000</v>
      </c>
    </row>
    <row r="42" spans="1:9" x14ac:dyDescent="0.25">
      <c r="A42">
        <v>2026</v>
      </c>
      <c r="B42">
        <v>3</v>
      </c>
      <c r="C42" s="1" t="s">
        <v>458</v>
      </c>
      <c r="D42">
        <v>1</v>
      </c>
      <c r="E42">
        <v>350</v>
      </c>
      <c r="F42" t="s">
        <v>49</v>
      </c>
      <c r="G42" s="11">
        <v>0</v>
      </c>
      <c r="H42" s="11">
        <v>0</v>
      </c>
      <c r="I42" s="11">
        <v>26000</v>
      </c>
    </row>
    <row r="43" spans="1:9" x14ac:dyDescent="0.25">
      <c r="A43">
        <v>2026</v>
      </c>
      <c r="B43">
        <v>3</v>
      </c>
      <c r="C43" s="1" t="s">
        <v>459</v>
      </c>
      <c r="D43">
        <v>1</v>
      </c>
      <c r="E43">
        <v>1660</v>
      </c>
      <c r="F43" t="s">
        <v>50</v>
      </c>
      <c r="G43" s="11">
        <v>628.75</v>
      </c>
      <c r="H43" s="11">
        <v>15498.31</v>
      </c>
      <c r="I43" s="11">
        <v>190000</v>
      </c>
    </row>
    <row r="44" spans="1:9" x14ac:dyDescent="0.25">
      <c r="A44">
        <v>2026</v>
      </c>
      <c r="B44">
        <v>3</v>
      </c>
      <c r="C44" s="1" t="s">
        <v>460</v>
      </c>
      <c r="F44" t="s">
        <v>51</v>
      </c>
      <c r="G44" s="11">
        <v>28668.5</v>
      </c>
      <c r="H44" s="11">
        <v>122529.32</v>
      </c>
      <c r="I44" s="11">
        <v>395000</v>
      </c>
    </row>
    <row r="45" spans="1:9" x14ac:dyDescent="0.25">
      <c r="A45">
        <v>2026</v>
      </c>
      <c r="B45">
        <v>3</v>
      </c>
      <c r="C45" s="1" t="s">
        <v>461</v>
      </c>
      <c r="D45">
        <v>3</v>
      </c>
      <c r="E45">
        <v>330</v>
      </c>
      <c r="F45" t="s">
        <v>52</v>
      </c>
      <c r="G45" s="11">
        <v>28668.5</v>
      </c>
      <c r="H45" s="11">
        <v>122529.32</v>
      </c>
      <c r="I45" s="11">
        <v>395000</v>
      </c>
    </row>
    <row r="46" spans="1:9" x14ac:dyDescent="0.25">
      <c r="A46">
        <v>2026</v>
      </c>
      <c r="B46">
        <v>3</v>
      </c>
      <c r="C46" s="1" t="s">
        <v>462</v>
      </c>
      <c r="F46" t="s">
        <v>53</v>
      </c>
      <c r="G46" s="11">
        <v>887718.77</v>
      </c>
      <c r="H46" s="11">
        <v>25821546.899999999</v>
      </c>
      <c r="I46" s="11">
        <v>34135000</v>
      </c>
    </row>
    <row r="47" spans="1:9" x14ac:dyDescent="0.25">
      <c r="A47">
        <v>2026</v>
      </c>
      <c r="B47">
        <v>3</v>
      </c>
      <c r="C47" s="1" t="s">
        <v>463</v>
      </c>
      <c r="F47" t="s">
        <v>53</v>
      </c>
      <c r="G47" s="11">
        <v>887718.77</v>
      </c>
      <c r="H47" s="11">
        <v>25821546.899999999</v>
      </c>
      <c r="I47" s="11">
        <v>34135000</v>
      </c>
    </row>
    <row r="48" spans="1:9" x14ac:dyDescent="0.25">
      <c r="A48">
        <v>2026</v>
      </c>
      <c r="B48">
        <v>3</v>
      </c>
      <c r="C48" s="1" t="s">
        <v>464</v>
      </c>
      <c r="D48">
        <v>1</v>
      </c>
      <c r="E48">
        <v>140</v>
      </c>
      <c r="F48" t="s">
        <v>54</v>
      </c>
      <c r="G48" s="11">
        <v>885915.65</v>
      </c>
      <c r="H48" s="11">
        <v>25811793.059999999</v>
      </c>
      <c r="I48" s="11">
        <v>34123000</v>
      </c>
    </row>
    <row r="49" spans="1:9" x14ac:dyDescent="0.25">
      <c r="A49">
        <v>2026</v>
      </c>
      <c r="B49">
        <v>3</v>
      </c>
      <c r="C49" s="1" t="s">
        <v>465</v>
      </c>
      <c r="D49">
        <v>1</v>
      </c>
      <c r="E49">
        <v>116</v>
      </c>
      <c r="F49" t="s">
        <v>55</v>
      </c>
      <c r="G49" s="11">
        <v>1803.12</v>
      </c>
      <c r="H49" s="11">
        <v>9695.1200000000008</v>
      </c>
      <c r="I49" s="11">
        <v>6000</v>
      </c>
    </row>
    <row r="50" spans="1:9" x14ac:dyDescent="0.25">
      <c r="A50">
        <v>2026</v>
      </c>
      <c r="B50">
        <v>3</v>
      </c>
      <c r="C50" s="1" t="s">
        <v>466</v>
      </c>
      <c r="D50">
        <v>1</v>
      </c>
      <c r="E50">
        <v>175</v>
      </c>
      <c r="F50" t="s">
        <v>56</v>
      </c>
      <c r="G50" s="11">
        <v>0</v>
      </c>
      <c r="H50" s="11">
        <v>58.72</v>
      </c>
      <c r="I50" s="11">
        <v>1000</v>
      </c>
    </row>
    <row r="51" spans="1:9" x14ac:dyDescent="0.25">
      <c r="A51">
        <v>2026</v>
      </c>
      <c r="B51">
        <v>3</v>
      </c>
      <c r="C51" s="1" t="s">
        <v>467</v>
      </c>
      <c r="D51">
        <v>3</v>
      </c>
      <c r="E51">
        <v>2607</v>
      </c>
      <c r="F51" t="s">
        <v>57</v>
      </c>
      <c r="G51" s="11">
        <v>0</v>
      </c>
      <c r="H51" s="11">
        <v>0</v>
      </c>
      <c r="I51" s="11">
        <v>5000</v>
      </c>
    </row>
    <row r="52" spans="1:9" x14ac:dyDescent="0.25">
      <c r="A52">
        <v>2026</v>
      </c>
      <c r="B52">
        <v>3</v>
      </c>
      <c r="C52" s="1" t="s">
        <v>468</v>
      </c>
      <c r="F52" t="s">
        <v>58</v>
      </c>
      <c r="G52" s="11">
        <v>0</v>
      </c>
      <c r="H52" s="11">
        <v>0</v>
      </c>
      <c r="I52" s="11">
        <v>2000</v>
      </c>
    </row>
    <row r="53" spans="1:9" x14ac:dyDescent="0.25">
      <c r="A53">
        <v>2026</v>
      </c>
      <c r="B53">
        <v>3</v>
      </c>
      <c r="C53" s="1" t="s">
        <v>469</v>
      </c>
      <c r="F53" t="s">
        <v>58</v>
      </c>
      <c r="G53" s="11">
        <v>0</v>
      </c>
      <c r="H53" s="11">
        <v>0</v>
      </c>
      <c r="I53" s="11">
        <v>2000</v>
      </c>
    </row>
    <row r="54" spans="1:9" x14ac:dyDescent="0.25">
      <c r="A54">
        <v>2026</v>
      </c>
      <c r="B54">
        <v>3</v>
      </c>
      <c r="C54" s="1" t="s">
        <v>470</v>
      </c>
      <c r="F54" t="s">
        <v>59</v>
      </c>
      <c r="G54" s="11">
        <v>0</v>
      </c>
      <c r="H54" s="11">
        <v>0</v>
      </c>
      <c r="I54" s="11">
        <v>2000</v>
      </c>
    </row>
    <row r="55" spans="1:9" x14ac:dyDescent="0.25">
      <c r="A55">
        <v>2026</v>
      </c>
      <c r="B55">
        <v>3</v>
      </c>
      <c r="C55" s="1" t="s">
        <v>471</v>
      </c>
      <c r="D55">
        <v>1</v>
      </c>
      <c r="E55">
        <v>205</v>
      </c>
      <c r="F55" t="s">
        <v>60</v>
      </c>
      <c r="G55" s="11">
        <v>0</v>
      </c>
      <c r="H55" s="11">
        <v>0</v>
      </c>
      <c r="I55" s="11">
        <v>1000</v>
      </c>
    </row>
    <row r="56" spans="1:9" x14ac:dyDescent="0.25">
      <c r="A56">
        <v>2026</v>
      </c>
      <c r="B56">
        <v>3</v>
      </c>
      <c r="C56" s="1" t="s">
        <v>472</v>
      </c>
      <c r="D56">
        <v>1</v>
      </c>
      <c r="E56">
        <v>1640</v>
      </c>
      <c r="F56" t="s">
        <v>61</v>
      </c>
      <c r="G56" s="11">
        <v>0</v>
      </c>
      <c r="H56" s="11">
        <v>0</v>
      </c>
      <c r="I56" s="11">
        <v>1000</v>
      </c>
    </row>
    <row r="57" spans="1:9" x14ac:dyDescent="0.25">
      <c r="A57">
        <v>2026</v>
      </c>
      <c r="B57">
        <v>3</v>
      </c>
      <c r="C57" s="1" t="s">
        <v>473</v>
      </c>
      <c r="F57" t="s">
        <v>62</v>
      </c>
      <c r="G57" s="11">
        <v>140596.31</v>
      </c>
      <c r="H57" s="11">
        <v>6959141</v>
      </c>
      <c r="I57" s="11">
        <v>37489000</v>
      </c>
    </row>
    <row r="58" spans="1:9" x14ac:dyDescent="0.25">
      <c r="A58">
        <v>2026</v>
      </c>
      <c r="B58">
        <v>3</v>
      </c>
      <c r="C58" s="1" t="s">
        <v>474</v>
      </c>
      <c r="F58" t="s">
        <v>63</v>
      </c>
      <c r="G58" s="11">
        <v>140596.31</v>
      </c>
      <c r="H58" s="11">
        <v>6959141</v>
      </c>
      <c r="I58" s="11">
        <v>37489000</v>
      </c>
    </row>
    <row r="59" spans="1:9" x14ac:dyDescent="0.25">
      <c r="A59">
        <v>2026</v>
      </c>
      <c r="B59">
        <v>3</v>
      </c>
      <c r="C59" s="1" t="s">
        <v>475</v>
      </c>
      <c r="F59" t="s">
        <v>63</v>
      </c>
      <c r="G59" s="11">
        <v>140596.31</v>
      </c>
      <c r="H59" s="11">
        <v>6959141</v>
      </c>
      <c r="I59" s="11">
        <v>37489000</v>
      </c>
    </row>
    <row r="60" spans="1:9" x14ac:dyDescent="0.25">
      <c r="A60">
        <v>2026</v>
      </c>
      <c r="B60">
        <v>3</v>
      </c>
      <c r="C60" s="1" t="s">
        <v>476</v>
      </c>
      <c r="F60" t="s">
        <v>63</v>
      </c>
      <c r="G60" s="11">
        <v>140596.31</v>
      </c>
      <c r="H60" s="11">
        <v>6959141</v>
      </c>
      <c r="I60" s="11">
        <v>37489000</v>
      </c>
    </row>
    <row r="61" spans="1:9" x14ac:dyDescent="0.25">
      <c r="A61">
        <v>2026</v>
      </c>
      <c r="B61">
        <v>3</v>
      </c>
      <c r="C61" s="1" t="s">
        <v>477</v>
      </c>
      <c r="D61">
        <v>3</v>
      </c>
      <c r="E61">
        <v>2997</v>
      </c>
      <c r="F61" t="s">
        <v>64</v>
      </c>
      <c r="G61" s="11">
        <v>140596.31</v>
      </c>
      <c r="H61" s="11">
        <v>1608733.47</v>
      </c>
      <c r="I61" s="11">
        <v>4313000</v>
      </c>
    </row>
    <row r="62" spans="1:9" x14ac:dyDescent="0.25">
      <c r="A62">
        <v>2026</v>
      </c>
      <c r="B62">
        <v>3</v>
      </c>
      <c r="C62" s="1" t="s">
        <v>478</v>
      </c>
      <c r="D62">
        <v>3</v>
      </c>
      <c r="E62">
        <v>2964</v>
      </c>
      <c r="F62" t="s">
        <v>65</v>
      </c>
      <c r="G62" s="11">
        <v>0</v>
      </c>
      <c r="H62" s="11">
        <v>5350407.53</v>
      </c>
      <c r="I62" s="11">
        <v>33176000</v>
      </c>
    </row>
    <row r="63" spans="1:9" x14ac:dyDescent="0.25">
      <c r="A63">
        <v>2026</v>
      </c>
      <c r="B63">
        <v>3</v>
      </c>
      <c r="C63" s="1" t="s">
        <v>479</v>
      </c>
      <c r="F63" t="s">
        <v>66</v>
      </c>
      <c r="G63" s="11">
        <v>115727.34</v>
      </c>
      <c r="H63" s="11">
        <v>4806903.79</v>
      </c>
      <c r="I63" s="11">
        <v>32327000</v>
      </c>
    </row>
    <row r="64" spans="1:9" x14ac:dyDescent="0.25">
      <c r="A64">
        <v>2026</v>
      </c>
      <c r="B64">
        <v>3</v>
      </c>
      <c r="C64" s="1" t="s">
        <v>480</v>
      </c>
      <c r="F64" t="s">
        <v>67</v>
      </c>
      <c r="G64" s="11">
        <v>115727.34</v>
      </c>
      <c r="H64" s="11">
        <v>640367.93000000005</v>
      </c>
      <c r="I64" s="11">
        <v>3959000</v>
      </c>
    </row>
    <row r="65" spans="1:9" x14ac:dyDescent="0.25">
      <c r="A65">
        <v>2026</v>
      </c>
      <c r="B65">
        <v>3</v>
      </c>
      <c r="C65" s="1" t="s">
        <v>481</v>
      </c>
      <c r="F65" t="s">
        <v>67</v>
      </c>
      <c r="G65" s="11">
        <v>115727.34</v>
      </c>
      <c r="H65" s="11">
        <v>640367.93000000005</v>
      </c>
      <c r="I65" s="11">
        <v>3959000</v>
      </c>
    </row>
    <row r="66" spans="1:9" x14ac:dyDescent="0.25">
      <c r="A66">
        <v>2026</v>
      </c>
      <c r="B66">
        <v>3</v>
      </c>
      <c r="C66" s="1" t="s">
        <v>482</v>
      </c>
      <c r="F66" t="s">
        <v>68</v>
      </c>
      <c r="G66" s="11">
        <v>69742.720000000001</v>
      </c>
      <c r="H66" s="11">
        <v>496721.22</v>
      </c>
      <c r="I66" s="11">
        <v>3502000</v>
      </c>
    </row>
    <row r="67" spans="1:9" x14ac:dyDescent="0.25">
      <c r="A67">
        <v>2026</v>
      </c>
      <c r="B67">
        <v>3</v>
      </c>
      <c r="C67" s="1" t="s">
        <v>483</v>
      </c>
      <c r="F67" t="s">
        <v>69</v>
      </c>
      <c r="G67" s="11">
        <v>16377.68</v>
      </c>
      <c r="H67" s="11">
        <v>77489.850000000006</v>
      </c>
      <c r="I67" s="11">
        <v>356000</v>
      </c>
    </row>
    <row r="68" spans="1:9" x14ac:dyDescent="0.25">
      <c r="A68">
        <v>2026</v>
      </c>
      <c r="B68">
        <v>3</v>
      </c>
      <c r="C68" s="1" t="s">
        <v>484</v>
      </c>
      <c r="D68">
        <v>1</v>
      </c>
      <c r="E68">
        <v>1040</v>
      </c>
      <c r="F68" t="s">
        <v>70</v>
      </c>
      <c r="G68" s="11">
        <v>16377.68</v>
      </c>
      <c r="H68" s="11">
        <v>77489.850000000006</v>
      </c>
      <c r="I68" s="11">
        <v>356000</v>
      </c>
    </row>
    <row r="69" spans="1:9" x14ac:dyDescent="0.25">
      <c r="A69">
        <v>2026</v>
      </c>
      <c r="B69">
        <v>3</v>
      </c>
      <c r="C69" s="1" t="s">
        <v>485</v>
      </c>
      <c r="F69" t="s">
        <v>71</v>
      </c>
      <c r="G69" s="11">
        <v>53365.04</v>
      </c>
      <c r="H69" s="11">
        <v>419231.37</v>
      </c>
      <c r="I69" s="11">
        <v>3146000</v>
      </c>
    </row>
    <row r="70" spans="1:9" x14ac:dyDescent="0.25">
      <c r="A70">
        <v>2026</v>
      </c>
      <c r="B70">
        <v>3</v>
      </c>
      <c r="C70" s="1" t="s">
        <v>486</v>
      </c>
      <c r="D70">
        <v>1</v>
      </c>
      <c r="E70">
        <v>1023</v>
      </c>
      <c r="F70" t="s">
        <v>72</v>
      </c>
      <c r="G70" s="11">
        <v>53365.04</v>
      </c>
      <c r="H70" s="11">
        <v>419231.37</v>
      </c>
      <c r="I70" s="11">
        <v>3146000</v>
      </c>
    </row>
    <row r="71" spans="1:9" x14ac:dyDescent="0.25">
      <c r="A71">
        <v>2026</v>
      </c>
      <c r="B71">
        <v>3</v>
      </c>
      <c r="C71" s="1" t="s">
        <v>487</v>
      </c>
      <c r="F71" t="s">
        <v>73</v>
      </c>
      <c r="G71" s="11">
        <v>45984.62</v>
      </c>
      <c r="H71" s="11">
        <v>143646.71</v>
      </c>
      <c r="I71" s="11">
        <v>457000</v>
      </c>
    </row>
    <row r="72" spans="1:9" x14ac:dyDescent="0.25">
      <c r="A72">
        <v>2026</v>
      </c>
      <c r="B72">
        <v>3</v>
      </c>
      <c r="C72" s="1" t="s">
        <v>488</v>
      </c>
      <c r="D72">
        <v>1</v>
      </c>
      <c r="E72">
        <v>1057</v>
      </c>
      <c r="F72" t="s">
        <v>74</v>
      </c>
      <c r="G72" s="11">
        <v>8369.6</v>
      </c>
      <c r="H72" s="11">
        <v>8369.6</v>
      </c>
      <c r="I72" s="11">
        <v>29000</v>
      </c>
    </row>
    <row r="73" spans="1:9" x14ac:dyDescent="0.25">
      <c r="A73">
        <v>2026</v>
      </c>
      <c r="B73">
        <v>3</v>
      </c>
      <c r="C73" s="1" t="s">
        <v>489</v>
      </c>
      <c r="D73">
        <v>1</v>
      </c>
      <c r="E73">
        <v>2165</v>
      </c>
      <c r="F73" t="s">
        <v>75</v>
      </c>
      <c r="G73" s="11">
        <v>37615.019999999997</v>
      </c>
      <c r="H73" s="11">
        <v>129372.43</v>
      </c>
      <c r="I73" s="11">
        <v>424000</v>
      </c>
    </row>
    <row r="74" spans="1:9" x14ac:dyDescent="0.25">
      <c r="A74">
        <v>2026</v>
      </c>
      <c r="B74">
        <v>3</v>
      </c>
      <c r="C74" s="1" t="s">
        <v>490</v>
      </c>
      <c r="D74">
        <v>1</v>
      </c>
      <c r="E74">
        <v>2166</v>
      </c>
      <c r="F74" t="s">
        <v>76</v>
      </c>
      <c r="G74" s="11">
        <v>0</v>
      </c>
      <c r="H74" s="11">
        <v>3704.68</v>
      </c>
      <c r="I74" s="11">
        <v>4000</v>
      </c>
    </row>
    <row r="75" spans="1:9" x14ac:dyDescent="0.25">
      <c r="A75">
        <v>2026</v>
      </c>
      <c r="B75">
        <v>3</v>
      </c>
      <c r="C75" s="1" t="s">
        <v>491</v>
      </c>
      <c r="D75">
        <v>1</v>
      </c>
      <c r="E75">
        <v>2167</v>
      </c>
      <c r="F75" t="s">
        <v>77</v>
      </c>
      <c r="G75" s="11">
        <v>0</v>
      </c>
      <c r="H75" s="11">
        <v>2200</v>
      </c>
      <c r="I75" s="11">
        <v>0</v>
      </c>
    </row>
    <row r="76" spans="1:9" x14ac:dyDescent="0.25">
      <c r="A76">
        <v>2026</v>
      </c>
      <c r="B76">
        <v>3</v>
      </c>
      <c r="C76" s="1" t="s">
        <v>492</v>
      </c>
      <c r="F76" t="s">
        <v>78</v>
      </c>
      <c r="G76" s="11">
        <v>0</v>
      </c>
      <c r="H76" s="11">
        <v>4166535.86</v>
      </c>
      <c r="I76" s="11">
        <v>28368000</v>
      </c>
    </row>
    <row r="77" spans="1:9" x14ac:dyDescent="0.25">
      <c r="A77">
        <v>2026</v>
      </c>
      <c r="B77">
        <v>3</v>
      </c>
      <c r="C77" s="1" t="s">
        <v>493</v>
      </c>
      <c r="F77" t="s">
        <v>79</v>
      </c>
      <c r="G77" s="11">
        <v>0</v>
      </c>
      <c r="H77" s="11">
        <v>4166535.86</v>
      </c>
      <c r="I77" s="11">
        <v>28349000</v>
      </c>
    </row>
    <row r="78" spans="1:9" x14ac:dyDescent="0.25">
      <c r="A78">
        <v>2026</v>
      </c>
      <c r="B78">
        <v>3</v>
      </c>
      <c r="C78" s="1" t="s">
        <v>494</v>
      </c>
      <c r="F78" t="s">
        <v>80</v>
      </c>
      <c r="G78" s="11">
        <v>0</v>
      </c>
      <c r="H78" s="11">
        <v>4166535.86</v>
      </c>
      <c r="I78" s="11">
        <v>28349000</v>
      </c>
    </row>
    <row r="79" spans="1:9" x14ac:dyDescent="0.25">
      <c r="A79">
        <v>2026</v>
      </c>
      <c r="B79">
        <v>3</v>
      </c>
      <c r="C79" s="1" t="s">
        <v>495</v>
      </c>
      <c r="D79">
        <v>2</v>
      </c>
      <c r="E79">
        <v>1912</v>
      </c>
      <c r="F79" t="s">
        <v>81</v>
      </c>
      <c r="G79" s="11">
        <v>0</v>
      </c>
      <c r="H79" s="11">
        <v>527221.09</v>
      </c>
      <c r="I79" s="11">
        <v>1639000</v>
      </c>
    </row>
    <row r="80" spans="1:9" x14ac:dyDescent="0.25">
      <c r="A80">
        <v>2026</v>
      </c>
      <c r="B80">
        <v>3</v>
      </c>
      <c r="C80" s="1" t="s">
        <v>496</v>
      </c>
      <c r="D80">
        <v>1</v>
      </c>
      <c r="E80">
        <v>1890</v>
      </c>
      <c r="F80" t="s">
        <v>82</v>
      </c>
      <c r="G80" s="11">
        <v>0</v>
      </c>
      <c r="H80" s="11">
        <v>2384.34</v>
      </c>
      <c r="I80" s="11">
        <v>310000</v>
      </c>
    </row>
    <row r="81" spans="1:9" x14ac:dyDescent="0.25">
      <c r="A81">
        <v>2026</v>
      </c>
      <c r="B81">
        <v>3</v>
      </c>
      <c r="C81" s="1" t="s">
        <v>497</v>
      </c>
      <c r="D81">
        <v>2</v>
      </c>
      <c r="E81">
        <v>1780</v>
      </c>
      <c r="F81" t="s">
        <v>83</v>
      </c>
      <c r="G81" s="11">
        <v>0</v>
      </c>
      <c r="H81" s="11">
        <v>131470.29999999999</v>
      </c>
      <c r="I81" s="11">
        <v>1090000</v>
      </c>
    </row>
    <row r="82" spans="1:9" x14ac:dyDescent="0.25">
      <c r="A82">
        <v>2026</v>
      </c>
      <c r="B82">
        <v>3</v>
      </c>
      <c r="C82" s="1" t="s">
        <v>498</v>
      </c>
      <c r="D82">
        <v>5</v>
      </c>
      <c r="E82">
        <v>1074</v>
      </c>
      <c r="F82" t="s">
        <v>84</v>
      </c>
      <c r="G82" s="11">
        <v>0</v>
      </c>
      <c r="H82" s="11">
        <v>104014.72</v>
      </c>
      <c r="I82" s="11">
        <v>0</v>
      </c>
    </row>
    <row r="83" spans="1:9" x14ac:dyDescent="0.25">
      <c r="A83">
        <v>2026</v>
      </c>
      <c r="B83">
        <v>3</v>
      </c>
      <c r="C83" s="1" t="s">
        <v>499</v>
      </c>
      <c r="D83">
        <v>1</v>
      </c>
      <c r="E83">
        <v>1546</v>
      </c>
      <c r="F83" t="s">
        <v>85</v>
      </c>
      <c r="G83" s="11">
        <v>0</v>
      </c>
      <c r="H83" s="11">
        <v>28548.53</v>
      </c>
      <c r="I83" s="11">
        <v>762000</v>
      </c>
    </row>
    <row r="84" spans="1:9" x14ac:dyDescent="0.25">
      <c r="A84">
        <v>2026</v>
      </c>
      <c r="B84">
        <v>3</v>
      </c>
      <c r="C84" s="1" t="s">
        <v>500</v>
      </c>
      <c r="D84">
        <v>5</v>
      </c>
      <c r="E84">
        <v>1750</v>
      </c>
      <c r="F84" t="s">
        <v>86</v>
      </c>
      <c r="G84" s="11">
        <v>0</v>
      </c>
      <c r="H84" s="11">
        <v>29310.35</v>
      </c>
      <c r="I84" s="11">
        <v>340000</v>
      </c>
    </row>
    <row r="85" spans="1:9" x14ac:dyDescent="0.25">
      <c r="A85">
        <v>2026</v>
      </c>
      <c r="B85">
        <v>3</v>
      </c>
      <c r="C85" s="1" t="s">
        <v>501</v>
      </c>
      <c r="D85">
        <v>5</v>
      </c>
      <c r="E85">
        <v>1500</v>
      </c>
      <c r="F85" t="s">
        <v>87</v>
      </c>
      <c r="G85" s="11">
        <v>0</v>
      </c>
      <c r="H85" s="11">
        <v>101261.54</v>
      </c>
      <c r="I85" s="11">
        <v>187000</v>
      </c>
    </row>
    <row r="86" spans="1:9" x14ac:dyDescent="0.25">
      <c r="A86">
        <v>2026</v>
      </c>
      <c r="B86">
        <v>3</v>
      </c>
      <c r="C86" s="1" t="s">
        <v>502</v>
      </c>
      <c r="D86">
        <v>1</v>
      </c>
      <c r="E86">
        <v>1123</v>
      </c>
      <c r="F86" t="s">
        <v>88</v>
      </c>
      <c r="G86" s="11">
        <v>0</v>
      </c>
      <c r="H86" s="11">
        <v>2012.09</v>
      </c>
      <c r="I86" s="11">
        <v>16000</v>
      </c>
    </row>
    <row r="87" spans="1:9" x14ac:dyDescent="0.25">
      <c r="A87">
        <v>2026</v>
      </c>
      <c r="B87">
        <v>3</v>
      </c>
      <c r="C87" s="1" t="s">
        <v>503</v>
      </c>
      <c r="D87">
        <v>5</v>
      </c>
      <c r="E87">
        <v>1730</v>
      </c>
      <c r="F87" t="s">
        <v>89</v>
      </c>
      <c r="G87" s="11">
        <v>0</v>
      </c>
      <c r="H87" s="11">
        <v>6134.31</v>
      </c>
      <c r="I87" s="11">
        <v>0</v>
      </c>
    </row>
    <row r="88" spans="1:9" x14ac:dyDescent="0.25">
      <c r="A88">
        <v>2026</v>
      </c>
      <c r="B88">
        <v>3</v>
      </c>
      <c r="C88" s="1" t="s">
        <v>504</v>
      </c>
      <c r="D88">
        <v>3</v>
      </c>
      <c r="E88">
        <v>1913</v>
      </c>
      <c r="F88" t="s">
        <v>90</v>
      </c>
      <c r="G88" s="11">
        <v>0</v>
      </c>
      <c r="H88" s="11">
        <v>65216.84</v>
      </c>
      <c r="I88" s="11">
        <v>663000</v>
      </c>
    </row>
    <row r="89" spans="1:9" x14ac:dyDescent="0.25">
      <c r="A89">
        <v>2026</v>
      </c>
      <c r="B89">
        <v>3</v>
      </c>
      <c r="C89" s="1" t="s">
        <v>505</v>
      </c>
      <c r="D89">
        <v>3</v>
      </c>
      <c r="E89">
        <v>1210</v>
      </c>
      <c r="F89" t="s">
        <v>91</v>
      </c>
      <c r="G89" s="11">
        <v>0</v>
      </c>
      <c r="H89" s="11">
        <v>171344.89</v>
      </c>
      <c r="I89" s="11">
        <v>489000</v>
      </c>
    </row>
    <row r="90" spans="1:9" x14ac:dyDescent="0.25">
      <c r="A90">
        <v>2026</v>
      </c>
      <c r="B90">
        <v>3</v>
      </c>
      <c r="C90" s="1" t="s">
        <v>506</v>
      </c>
      <c r="D90">
        <v>3</v>
      </c>
      <c r="E90">
        <v>1820</v>
      </c>
      <c r="F90" t="s">
        <v>92</v>
      </c>
      <c r="G90" s="11">
        <v>0</v>
      </c>
      <c r="H90" s="11">
        <v>33259.4</v>
      </c>
      <c r="I90" s="11">
        <v>155000</v>
      </c>
    </row>
    <row r="91" spans="1:9" x14ac:dyDescent="0.25">
      <c r="A91">
        <v>2026</v>
      </c>
      <c r="B91">
        <v>3</v>
      </c>
      <c r="C91" s="1" t="s">
        <v>507</v>
      </c>
      <c r="D91">
        <v>3</v>
      </c>
      <c r="E91">
        <v>1134</v>
      </c>
      <c r="F91" t="s">
        <v>93</v>
      </c>
      <c r="G91" s="11">
        <v>0</v>
      </c>
      <c r="H91" s="11">
        <v>46668.89</v>
      </c>
      <c r="I91" s="11">
        <v>246000</v>
      </c>
    </row>
    <row r="92" spans="1:9" x14ac:dyDescent="0.25">
      <c r="A92">
        <v>2026</v>
      </c>
      <c r="B92">
        <v>3</v>
      </c>
      <c r="C92" s="1" t="s">
        <v>508</v>
      </c>
      <c r="D92">
        <v>2</v>
      </c>
      <c r="E92">
        <v>1563</v>
      </c>
      <c r="F92" t="s">
        <v>94</v>
      </c>
      <c r="G92" s="11">
        <v>0</v>
      </c>
      <c r="H92" s="11">
        <v>26.62</v>
      </c>
      <c r="I92" s="11">
        <v>0</v>
      </c>
    </row>
    <row r="93" spans="1:9" x14ac:dyDescent="0.25">
      <c r="A93">
        <v>2026</v>
      </c>
      <c r="B93">
        <v>3</v>
      </c>
      <c r="C93" s="1" t="s">
        <v>509</v>
      </c>
      <c r="D93">
        <v>2</v>
      </c>
      <c r="E93">
        <v>1731</v>
      </c>
      <c r="F93" t="s">
        <v>95</v>
      </c>
      <c r="G93" s="11">
        <v>0</v>
      </c>
      <c r="H93" s="11">
        <v>568.04</v>
      </c>
      <c r="I93" s="11">
        <v>8000</v>
      </c>
    </row>
    <row r="94" spans="1:9" x14ac:dyDescent="0.25">
      <c r="A94">
        <v>2026</v>
      </c>
      <c r="B94">
        <v>3</v>
      </c>
      <c r="C94" s="1" t="s">
        <v>510</v>
      </c>
      <c r="D94">
        <v>1</v>
      </c>
      <c r="E94">
        <v>1121</v>
      </c>
      <c r="F94" t="s">
        <v>96</v>
      </c>
      <c r="G94" s="11">
        <v>0</v>
      </c>
      <c r="H94" s="11">
        <v>57053.77</v>
      </c>
      <c r="I94" s="11">
        <v>85000</v>
      </c>
    </row>
    <row r="95" spans="1:9" x14ac:dyDescent="0.25">
      <c r="A95">
        <v>2026</v>
      </c>
      <c r="B95">
        <v>3</v>
      </c>
      <c r="C95" s="1" t="s">
        <v>511</v>
      </c>
      <c r="D95">
        <v>6</v>
      </c>
      <c r="E95">
        <v>1119</v>
      </c>
      <c r="F95" t="s">
        <v>97</v>
      </c>
      <c r="G95" s="11">
        <v>0</v>
      </c>
      <c r="H95" s="11">
        <v>2754.77</v>
      </c>
      <c r="I95" s="11">
        <v>0</v>
      </c>
    </row>
    <row r="96" spans="1:9" x14ac:dyDescent="0.25">
      <c r="A96">
        <v>2026</v>
      </c>
      <c r="B96">
        <v>3</v>
      </c>
      <c r="C96" s="1" t="s">
        <v>512</v>
      </c>
      <c r="D96">
        <v>3</v>
      </c>
      <c r="E96">
        <v>1127</v>
      </c>
      <c r="F96" t="s">
        <v>98</v>
      </c>
      <c r="G96" s="11">
        <v>0</v>
      </c>
      <c r="H96" s="11">
        <v>382.18</v>
      </c>
      <c r="I96" s="11">
        <v>1000</v>
      </c>
    </row>
    <row r="97" spans="1:9" x14ac:dyDescent="0.25">
      <c r="A97">
        <v>2026</v>
      </c>
      <c r="B97">
        <v>3</v>
      </c>
      <c r="C97" s="1" t="s">
        <v>513</v>
      </c>
      <c r="D97">
        <v>2</v>
      </c>
      <c r="E97">
        <v>1128</v>
      </c>
      <c r="F97" t="s">
        <v>99</v>
      </c>
      <c r="G97" s="11">
        <v>0</v>
      </c>
      <c r="H97" s="11">
        <v>74294.399999999994</v>
      </c>
      <c r="I97" s="11">
        <v>50000</v>
      </c>
    </row>
    <row r="98" spans="1:9" x14ac:dyDescent="0.25">
      <c r="A98">
        <v>2026</v>
      </c>
      <c r="B98">
        <v>3</v>
      </c>
      <c r="C98" s="1" t="s">
        <v>514</v>
      </c>
      <c r="D98">
        <v>3</v>
      </c>
      <c r="E98">
        <v>1129</v>
      </c>
      <c r="F98" t="s">
        <v>100</v>
      </c>
      <c r="G98" s="11">
        <v>0</v>
      </c>
      <c r="H98" s="11">
        <v>49720.42</v>
      </c>
      <c r="I98" s="11">
        <v>553000</v>
      </c>
    </row>
    <row r="99" spans="1:9" x14ac:dyDescent="0.25">
      <c r="A99">
        <v>2026</v>
      </c>
      <c r="B99">
        <v>3</v>
      </c>
      <c r="C99" s="1" t="s">
        <v>515</v>
      </c>
      <c r="D99">
        <v>3</v>
      </c>
      <c r="E99">
        <v>1130</v>
      </c>
      <c r="F99" t="s">
        <v>101</v>
      </c>
      <c r="G99" s="11">
        <v>0</v>
      </c>
      <c r="H99" s="11">
        <v>99160.98</v>
      </c>
      <c r="I99" s="11">
        <v>295000</v>
      </c>
    </row>
    <row r="100" spans="1:9" x14ac:dyDescent="0.25">
      <c r="A100">
        <v>2026</v>
      </c>
      <c r="B100">
        <v>3</v>
      </c>
      <c r="C100" s="1" t="s">
        <v>516</v>
      </c>
      <c r="D100">
        <v>3</v>
      </c>
      <c r="E100">
        <v>1143</v>
      </c>
      <c r="F100" t="s">
        <v>102</v>
      </c>
      <c r="G100" s="11">
        <v>0</v>
      </c>
      <c r="H100" s="11">
        <v>2427.6</v>
      </c>
      <c r="I100" s="11">
        <v>86000</v>
      </c>
    </row>
    <row r="101" spans="1:9" x14ac:dyDescent="0.25">
      <c r="A101">
        <v>2026</v>
      </c>
      <c r="B101">
        <v>3</v>
      </c>
      <c r="C101" s="1" t="s">
        <v>517</v>
      </c>
      <c r="D101">
        <v>5</v>
      </c>
      <c r="E101">
        <v>1145</v>
      </c>
      <c r="F101" t="s">
        <v>103</v>
      </c>
      <c r="G101" s="11">
        <v>0</v>
      </c>
      <c r="H101" s="11">
        <v>270.83</v>
      </c>
      <c r="I101" s="11">
        <v>0</v>
      </c>
    </row>
    <row r="102" spans="1:9" x14ac:dyDescent="0.25">
      <c r="A102">
        <v>2026</v>
      </c>
      <c r="B102">
        <v>3</v>
      </c>
      <c r="C102" s="1" t="s">
        <v>518</v>
      </c>
      <c r="D102">
        <v>5</v>
      </c>
      <c r="E102">
        <v>1146</v>
      </c>
      <c r="F102" t="s">
        <v>104</v>
      </c>
      <c r="G102" s="11">
        <v>0</v>
      </c>
      <c r="H102" s="11">
        <v>490.78</v>
      </c>
      <c r="I102" s="11">
        <v>4000</v>
      </c>
    </row>
    <row r="103" spans="1:9" x14ac:dyDescent="0.25">
      <c r="A103">
        <v>2026</v>
      </c>
      <c r="B103">
        <v>3</v>
      </c>
      <c r="C103" s="1" t="s">
        <v>519</v>
      </c>
      <c r="D103">
        <v>5</v>
      </c>
      <c r="E103">
        <v>1147</v>
      </c>
      <c r="F103" t="s">
        <v>105</v>
      </c>
      <c r="G103" s="11">
        <v>0</v>
      </c>
      <c r="H103" s="11">
        <v>511.79</v>
      </c>
      <c r="I103" s="11">
        <v>0</v>
      </c>
    </row>
    <row r="104" spans="1:9" x14ac:dyDescent="0.25">
      <c r="A104">
        <v>2026</v>
      </c>
      <c r="B104">
        <v>3</v>
      </c>
      <c r="C104" s="1" t="s">
        <v>520</v>
      </c>
      <c r="D104">
        <v>2</v>
      </c>
      <c r="E104">
        <v>1148</v>
      </c>
      <c r="F104" t="s">
        <v>106</v>
      </c>
      <c r="G104" s="11">
        <v>0</v>
      </c>
      <c r="H104" s="11">
        <v>644.04</v>
      </c>
      <c r="I104" s="11">
        <v>0</v>
      </c>
    </row>
    <row r="105" spans="1:9" x14ac:dyDescent="0.25">
      <c r="A105">
        <v>2026</v>
      </c>
      <c r="B105">
        <v>3</v>
      </c>
      <c r="C105" s="1" t="s">
        <v>521</v>
      </c>
      <c r="D105">
        <v>3</v>
      </c>
      <c r="E105">
        <v>1149</v>
      </c>
      <c r="F105" t="s">
        <v>107</v>
      </c>
      <c r="G105" s="11">
        <v>0</v>
      </c>
      <c r="H105" s="11">
        <v>304.94</v>
      </c>
      <c r="I105" s="11">
        <v>1000</v>
      </c>
    </row>
    <row r="106" spans="1:9" x14ac:dyDescent="0.25">
      <c r="A106">
        <v>2026</v>
      </c>
      <c r="B106">
        <v>3</v>
      </c>
      <c r="C106" s="1" t="s">
        <v>522</v>
      </c>
      <c r="D106">
        <v>5</v>
      </c>
      <c r="E106">
        <v>1152</v>
      </c>
      <c r="F106" t="s">
        <v>108</v>
      </c>
      <c r="G106" s="11">
        <v>0</v>
      </c>
      <c r="H106" s="11">
        <v>315.24</v>
      </c>
      <c r="I106" s="11">
        <v>0</v>
      </c>
    </row>
    <row r="107" spans="1:9" x14ac:dyDescent="0.25">
      <c r="A107">
        <v>2026</v>
      </c>
      <c r="B107">
        <v>3</v>
      </c>
      <c r="C107" s="1" t="s">
        <v>523</v>
      </c>
      <c r="D107">
        <v>3</v>
      </c>
      <c r="E107">
        <v>1999</v>
      </c>
      <c r="F107" t="s">
        <v>109</v>
      </c>
      <c r="G107" s="11">
        <v>0</v>
      </c>
      <c r="H107" s="11">
        <v>701.14</v>
      </c>
      <c r="I107" s="11">
        <v>1000</v>
      </c>
    </row>
    <row r="108" spans="1:9" x14ac:dyDescent="0.25">
      <c r="A108">
        <v>2026</v>
      </c>
      <c r="B108">
        <v>3</v>
      </c>
      <c r="C108" s="1" t="s">
        <v>524</v>
      </c>
      <c r="D108">
        <v>3</v>
      </c>
      <c r="E108">
        <v>1158</v>
      </c>
      <c r="F108" t="s">
        <v>110</v>
      </c>
      <c r="G108" s="11">
        <v>0</v>
      </c>
      <c r="H108" s="11">
        <v>37948.660000000003</v>
      </c>
      <c r="I108" s="11">
        <v>245000</v>
      </c>
    </row>
    <row r="109" spans="1:9" x14ac:dyDescent="0.25">
      <c r="A109">
        <v>2026</v>
      </c>
      <c r="B109">
        <v>3</v>
      </c>
      <c r="C109" s="1" t="s">
        <v>525</v>
      </c>
      <c r="D109">
        <v>1</v>
      </c>
      <c r="E109">
        <v>1066</v>
      </c>
      <c r="F109" t="s">
        <v>111</v>
      </c>
      <c r="G109" s="11">
        <v>0</v>
      </c>
      <c r="H109" s="11">
        <v>1220292</v>
      </c>
      <c r="I109" s="11">
        <v>16278000</v>
      </c>
    </row>
    <row r="110" spans="1:9" x14ac:dyDescent="0.25">
      <c r="A110">
        <v>2026</v>
      </c>
      <c r="B110">
        <v>3</v>
      </c>
      <c r="C110" s="1" t="s">
        <v>526</v>
      </c>
      <c r="D110">
        <v>3</v>
      </c>
      <c r="E110">
        <v>1112</v>
      </c>
      <c r="F110" t="s">
        <v>112</v>
      </c>
      <c r="G110" s="11">
        <v>0</v>
      </c>
      <c r="H110" s="11">
        <v>72531.81</v>
      </c>
      <c r="I110" s="11">
        <v>0</v>
      </c>
    </row>
    <row r="111" spans="1:9" x14ac:dyDescent="0.25">
      <c r="A111">
        <v>2026</v>
      </c>
      <c r="B111">
        <v>3</v>
      </c>
      <c r="C111" s="1" t="s">
        <v>527</v>
      </c>
      <c r="D111">
        <v>1</v>
      </c>
      <c r="E111">
        <v>1117</v>
      </c>
      <c r="F111" t="s">
        <v>113</v>
      </c>
      <c r="G111" s="11">
        <v>0</v>
      </c>
      <c r="H111" s="11">
        <v>113342.31</v>
      </c>
      <c r="I111" s="11">
        <v>0</v>
      </c>
    </row>
    <row r="112" spans="1:9" x14ac:dyDescent="0.25">
      <c r="A112">
        <v>2026</v>
      </c>
      <c r="B112">
        <v>3</v>
      </c>
      <c r="C112" s="1" t="s">
        <v>528</v>
      </c>
      <c r="D112">
        <v>1</v>
      </c>
      <c r="E112">
        <v>1118</v>
      </c>
      <c r="F112" t="s">
        <v>114</v>
      </c>
      <c r="G112" s="11">
        <v>0</v>
      </c>
      <c r="H112" s="11">
        <v>2151.9</v>
      </c>
      <c r="I112" s="11">
        <v>0</v>
      </c>
    </row>
    <row r="113" spans="1:9" x14ac:dyDescent="0.25">
      <c r="A113">
        <v>2026</v>
      </c>
      <c r="B113">
        <v>3</v>
      </c>
      <c r="C113" s="1" t="s">
        <v>529</v>
      </c>
      <c r="D113">
        <v>5</v>
      </c>
      <c r="E113">
        <v>1125</v>
      </c>
      <c r="F113" t="s">
        <v>115</v>
      </c>
      <c r="G113" s="11">
        <v>0</v>
      </c>
      <c r="H113" s="11">
        <v>160965.63</v>
      </c>
      <c r="I113" s="11">
        <v>1850000</v>
      </c>
    </row>
    <row r="114" spans="1:9" x14ac:dyDescent="0.25">
      <c r="A114">
        <v>2026</v>
      </c>
      <c r="B114">
        <v>3</v>
      </c>
      <c r="C114" s="1" t="s">
        <v>530</v>
      </c>
      <c r="D114">
        <v>3</v>
      </c>
      <c r="E114">
        <v>1162</v>
      </c>
      <c r="F114" t="s">
        <v>116</v>
      </c>
      <c r="G114" s="11">
        <v>0</v>
      </c>
      <c r="H114" s="11">
        <v>5956.87</v>
      </c>
      <c r="I114" s="11">
        <v>13000</v>
      </c>
    </row>
    <row r="115" spans="1:9" x14ac:dyDescent="0.25">
      <c r="A115">
        <v>2026</v>
      </c>
      <c r="B115">
        <v>3</v>
      </c>
      <c r="C115" s="1" t="s">
        <v>531</v>
      </c>
      <c r="D115">
        <v>3</v>
      </c>
      <c r="E115">
        <v>1169</v>
      </c>
      <c r="F115" t="s">
        <v>117</v>
      </c>
      <c r="G115" s="11">
        <v>0</v>
      </c>
      <c r="H115" s="11">
        <v>1974.6</v>
      </c>
      <c r="I115" s="11">
        <v>361000</v>
      </c>
    </row>
    <row r="116" spans="1:9" x14ac:dyDescent="0.25">
      <c r="A116">
        <v>2026</v>
      </c>
      <c r="B116">
        <v>3</v>
      </c>
      <c r="C116" s="1" t="s">
        <v>532</v>
      </c>
      <c r="D116">
        <v>6</v>
      </c>
      <c r="E116">
        <v>1181</v>
      </c>
      <c r="F116" t="s">
        <v>118</v>
      </c>
      <c r="G116" s="11">
        <v>0</v>
      </c>
      <c r="H116" s="11">
        <v>706.94</v>
      </c>
      <c r="I116" s="11">
        <v>5000</v>
      </c>
    </row>
    <row r="117" spans="1:9" x14ac:dyDescent="0.25">
      <c r="A117">
        <v>2026</v>
      </c>
      <c r="B117">
        <v>3</v>
      </c>
      <c r="C117" s="1" t="s">
        <v>533</v>
      </c>
      <c r="D117">
        <v>3</v>
      </c>
      <c r="E117">
        <v>1182</v>
      </c>
      <c r="F117" t="s">
        <v>119</v>
      </c>
      <c r="G117" s="11">
        <v>0</v>
      </c>
      <c r="H117" s="11">
        <v>244677.15</v>
      </c>
      <c r="I117" s="11">
        <v>887000</v>
      </c>
    </row>
    <row r="118" spans="1:9" x14ac:dyDescent="0.25">
      <c r="A118">
        <v>2026</v>
      </c>
      <c r="B118">
        <v>3</v>
      </c>
      <c r="C118" s="1" t="s">
        <v>534</v>
      </c>
      <c r="D118">
        <v>6</v>
      </c>
      <c r="E118">
        <v>1183</v>
      </c>
      <c r="F118" t="s">
        <v>120</v>
      </c>
      <c r="G118" s="11">
        <v>0</v>
      </c>
      <c r="H118" s="11">
        <v>844.76</v>
      </c>
      <c r="I118" s="11">
        <v>0</v>
      </c>
    </row>
    <row r="119" spans="1:9" x14ac:dyDescent="0.25">
      <c r="A119">
        <v>2026</v>
      </c>
      <c r="B119">
        <v>3</v>
      </c>
      <c r="C119" s="1" t="s">
        <v>535</v>
      </c>
      <c r="D119">
        <v>6</v>
      </c>
      <c r="E119">
        <v>1185</v>
      </c>
      <c r="F119" t="s">
        <v>121</v>
      </c>
      <c r="G119" s="11">
        <v>0</v>
      </c>
      <c r="H119" s="11">
        <v>2785.17</v>
      </c>
      <c r="I119" s="11">
        <v>15000</v>
      </c>
    </row>
    <row r="120" spans="1:9" x14ac:dyDescent="0.25">
      <c r="A120">
        <v>2026</v>
      </c>
      <c r="B120">
        <v>3</v>
      </c>
      <c r="C120" s="1" t="s">
        <v>536</v>
      </c>
      <c r="D120">
        <v>6</v>
      </c>
      <c r="E120">
        <v>1192</v>
      </c>
      <c r="F120" t="s">
        <v>122</v>
      </c>
      <c r="G120" s="11">
        <v>0</v>
      </c>
      <c r="H120" s="11">
        <v>173.19</v>
      </c>
      <c r="I120" s="11">
        <v>3000</v>
      </c>
    </row>
    <row r="121" spans="1:9" x14ac:dyDescent="0.25">
      <c r="A121">
        <v>2026</v>
      </c>
      <c r="B121">
        <v>3</v>
      </c>
      <c r="C121" s="1" t="s">
        <v>537</v>
      </c>
      <c r="D121">
        <v>1</v>
      </c>
      <c r="E121">
        <v>1194</v>
      </c>
      <c r="F121" t="s">
        <v>123</v>
      </c>
      <c r="G121" s="11">
        <v>0</v>
      </c>
      <c r="H121" s="11">
        <v>18353.7</v>
      </c>
      <c r="I121" s="11">
        <v>22000</v>
      </c>
    </row>
    <row r="122" spans="1:9" x14ac:dyDescent="0.25">
      <c r="A122">
        <v>2026</v>
      </c>
      <c r="B122">
        <v>3</v>
      </c>
      <c r="C122" s="1" t="s">
        <v>538</v>
      </c>
      <c r="D122">
        <v>5</v>
      </c>
      <c r="E122">
        <v>1197</v>
      </c>
      <c r="F122" t="s">
        <v>124</v>
      </c>
      <c r="G122" s="11">
        <v>0</v>
      </c>
      <c r="H122" s="11">
        <v>1870.09</v>
      </c>
      <c r="I122" s="11">
        <v>0</v>
      </c>
    </row>
    <row r="123" spans="1:9" x14ac:dyDescent="0.25">
      <c r="A123">
        <v>2026</v>
      </c>
      <c r="B123">
        <v>3</v>
      </c>
      <c r="C123" s="1" t="s">
        <v>539</v>
      </c>
      <c r="D123">
        <v>6</v>
      </c>
      <c r="E123">
        <v>1215</v>
      </c>
      <c r="F123" t="s">
        <v>125</v>
      </c>
      <c r="G123" s="11">
        <v>0</v>
      </c>
      <c r="H123" s="11">
        <v>344.11</v>
      </c>
      <c r="I123" s="11">
        <v>0</v>
      </c>
    </row>
    <row r="124" spans="1:9" x14ac:dyDescent="0.25">
      <c r="A124">
        <v>2026</v>
      </c>
      <c r="B124">
        <v>3</v>
      </c>
      <c r="C124" s="1" t="s">
        <v>540</v>
      </c>
      <c r="D124">
        <v>6</v>
      </c>
      <c r="E124">
        <v>1216</v>
      </c>
      <c r="F124" t="s">
        <v>126</v>
      </c>
      <c r="G124" s="11">
        <v>0</v>
      </c>
      <c r="H124" s="11">
        <v>413.19</v>
      </c>
      <c r="I124" s="11">
        <v>0</v>
      </c>
    </row>
    <row r="125" spans="1:9" x14ac:dyDescent="0.25">
      <c r="A125">
        <v>2026</v>
      </c>
      <c r="B125">
        <v>3</v>
      </c>
      <c r="C125" s="1" t="s">
        <v>541</v>
      </c>
      <c r="D125">
        <v>6</v>
      </c>
      <c r="E125">
        <v>1217</v>
      </c>
      <c r="F125" t="s">
        <v>127</v>
      </c>
      <c r="G125" s="11">
        <v>0</v>
      </c>
      <c r="H125" s="11">
        <v>573.01</v>
      </c>
      <c r="I125" s="11">
        <v>0</v>
      </c>
    </row>
    <row r="126" spans="1:9" x14ac:dyDescent="0.25">
      <c r="A126">
        <v>2026</v>
      </c>
      <c r="B126">
        <v>3</v>
      </c>
      <c r="C126" s="1" t="s">
        <v>542</v>
      </c>
      <c r="D126">
        <v>5</v>
      </c>
      <c r="E126">
        <v>1223</v>
      </c>
      <c r="F126" t="s">
        <v>128</v>
      </c>
      <c r="G126" s="11">
        <v>0</v>
      </c>
      <c r="H126" s="11">
        <v>19.309999999999999</v>
      </c>
      <c r="I126" s="11">
        <v>0</v>
      </c>
    </row>
    <row r="127" spans="1:9" x14ac:dyDescent="0.25">
      <c r="A127">
        <v>2026</v>
      </c>
      <c r="B127">
        <v>3</v>
      </c>
      <c r="C127" s="1" t="s">
        <v>543</v>
      </c>
      <c r="D127">
        <v>5</v>
      </c>
      <c r="E127">
        <v>1224</v>
      </c>
      <c r="F127" t="s">
        <v>129</v>
      </c>
      <c r="G127" s="11">
        <v>0</v>
      </c>
      <c r="H127" s="11">
        <v>11.23</v>
      </c>
      <c r="I127" s="11">
        <v>0</v>
      </c>
    </row>
    <row r="128" spans="1:9" x14ac:dyDescent="0.25">
      <c r="A128">
        <v>2026</v>
      </c>
      <c r="B128">
        <v>3</v>
      </c>
      <c r="C128" s="1" t="s">
        <v>544</v>
      </c>
      <c r="D128">
        <v>3</v>
      </c>
      <c r="E128">
        <v>1225</v>
      </c>
      <c r="F128" t="s">
        <v>130</v>
      </c>
      <c r="G128" s="11">
        <v>0</v>
      </c>
      <c r="H128" s="11">
        <v>46065.04</v>
      </c>
      <c r="I128" s="11">
        <v>171000</v>
      </c>
    </row>
    <row r="129" spans="1:9" x14ac:dyDescent="0.25">
      <c r="A129">
        <v>2026</v>
      </c>
      <c r="B129">
        <v>3</v>
      </c>
      <c r="C129" s="1" t="s">
        <v>545</v>
      </c>
      <c r="D129">
        <v>2</v>
      </c>
      <c r="E129">
        <v>1245</v>
      </c>
      <c r="F129" t="s">
        <v>131</v>
      </c>
      <c r="G129" s="11">
        <v>0</v>
      </c>
      <c r="H129" s="11">
        <v>1151.1500000000001</v>
      </c>
      <c r="I129" s="11">
        <v>0</v>
      </c>
    </row>
    <row r="130" spans="1:9" x14ac:dyDescent="0.25">
      <c r="A130">
        <v>2026</v>
      </c>
      <c r="B130">
        <v>3</v>
      </c>
      <c r="C130" s="1" t="s">
        <v>546</v>
      </c>
      <c r="D130">
        <v>6</v>
      </c>
      <c r="E130">
        <v>1246</v>
      </c>
      <c r="F130" t="s">
        <v>132</v>
      </c>
      <c r="G130" s="11">
        <v>0</v>
      </c>
      <c r="H130" s="11">
        <v>64647.55</v>
      </c>
      <c r="I130" s="11">
        <v>160000</v>
      </c>
    </row>
    <row r="131" spans="1:9" x14ac:dyDescent="0.25">
      <c r="A131">
        <v>2026</v>
      </c>
      <c r="B131">
        <v>3</v>
      </c>
      <c r="C131" s="1" t="s">
        <v>547</v>
      </c>
      <c r="D131">
        <v>2</v>
      </c>
      <c r="E131">
        <v>1250</v>
      </c>
      <c r="F131" t="s">
        <v>133</v>
      </c>
      <c r="G131" s="11">
        <v>0</v>
      </c>
      <c r="H131" s="11">
        <v>29.03</v>
      </c>
      <c r="I131" s="11">
        <v>0</v>
      </c>
    </row>
    <row r="132" spans="1:9" x14ac:dyDescent="0.25">
      <c r="A132">
        <v>2026</v>
      </c>
      <c r="B132">
        <v>3</v>
      </c>
      <c r="C132" s="1" t="s">
        <v>548</v>
      </c>
      <c r="D132">
        <v>3</v>
      </c>
      <c r="E132">
        <v>1254</v>
      </c>
      <c r="F132" t="s">
        <v>134</v>
      </c>
      <c r="G132" s="11">
        <v>0</v>
      </c>
      <c r="H132" s="11">
        <v>165955.32999999999</v>
      </c>
      <c r="I132" s="11">
        <v>666000</v>
      </c>
    </row>
    <row r="133" spans="1:9" x14ac:dyDescent="0.25">
      <c r="A133">
        <v>2026</v>
      </c>
      <c r="B133">
        <v>3</v>
      </c>
      <c r="C133" s="1" t="s">
        <v>549</v>
      </c>
      <c r="D133">
        <v>2</v>
      </c>
      <c r="E133">
        <v>1263</v>
      </c>
      <c r="F133" t="s">
        <v>135</v>
      </c>
      <c r="G133" s="11">
        <v>0</v>
      </c>
      <c r="H133" s="11">
        <v>88.09</v>
      </c>
      <c r="I133" s="11">
        <v>0</v>
      </c>
    </row>
    <row r="134" spans="1:9" x14ac:dyDescent="0.25">
      <c r="A134">
        <v>2026</v>
      </c>
      <c r="B134">
        <v>3</v>
      </c>
      <c r="C134" s="1" t="s">
        <v>550</v>
      </c>
      <c r="D134">
        <v>5</v>
      </c>
      <c r="E134">
        <v>1255</v>
      </c>
      <c r="F134" t="s">
        <v>136</v>
      </c>
      <c r="G134" s="11">
        <v>0</v>
      </c>
      <c r="H134" s="11">
        <v>899.73</v>
      </c>
      <c r="I134" s="11">
        <v>0</v>
      </c>
    </row>
    <row r="135" spans="1:9" x14ac:dyDescent="0.25">
      <c r="A135">
        <v>2026</v>
      </c>
      <c r="B135">
        <v>3</v>
      </c>
      <c r="C135" s="1" t="s">
        <v>551</v>
      </c>
      <c r="D135">
        <v>2</v>
      </c>
      <c r="E135">
        <v>1264</v>
      </c>
      <c r="F135" t="s">
        <v>137</v>
      </c>
      <c r="G135" s="11">
        <v>0</v>
      </c>
      <c r="H135" s="11">
        <v>4.8499999999999996</v>
      </c>
      <c r="I135" s="11">
        <v>0</v>
      </c>
    </row>
    <row r="136" spans="1:9" x14ac:dyDescent="0.25">
      <c r="A136">
        <v>2026</v>
      </c>
      <c r="B136">
        <v>3</v>
      </c>
      <c r="C136" s="1" t="s">
        <v>552</v>
      </c>
      <c r="D136">
        <v>6</v>
      </c>
      <c r="E136">
        <v>1266</v>
      </c>
      <c r="F136" t="s">
        <v>138</v>
      </c>
      <c r="G136" s="11">
        <v>0</v>
      </c>
      <c r="H136" s="11">
        <v>2701.46</v>
      </c>
      <c r="I136" s="11">
        <v>0</v>
      </c>
    </row>
    <row r="137" spans="1:9" x14ac:dyDescent="0.25">
      <c r="A137">
        <v>2026</v>
      </c>
      <c r="B137">
        <v>3</v>
      </c>
      <c r="C137" s="1" t="s">
        <v>553</v>
      </c>
      <c r="D137">
        <v>5</v>
      </c>
      <c r="E137">
        <v>1267</v>
      </c>
      <c r="F137" t="s">
        <v>139</v>
      </c>
      <c r="G137" s="11">
        <v>0</v>
      </c>
      <c r="H137" s="11">
        <v>3549.26</v>
      </c>
      <c r="I137" s="11">
        <v>22000</v>
      </c>
    </row>
    <row r="138" spans="1:9" x14ac:dyDescent="0.25">
      <c r="A138">
        <v>2026</v>
      </c>
      <c r="B138">
        <v>3</v>
      </c>
      <c r="C138" s="1" t="s">
        <v>554</v>
      </c>
      <c r="D138">
        <v>1</v>
      </c>
      <c r="E138">
        <v>1268</v>
      </c>
      <c r="F138" t="s">
        <v>140</v>
      </c>
      <c r="G138" s="11">
        <v>0</v>
      </c>
      <c r="H138" s="11">
        <v>10612.57</v>
      </c>
      <c r="I138" s="11">
        <v>57000</v>
      </c>
    </row>
    <row r="139" spans="1:9" x14ac:dyDescent="0.25">
      <c r="A139">
        <v>2026</v>
      </c>
      <c r="B139">
        <v>3</v>
      </c>
      <c r="C139" s="1" t="s">
        <v>555</v>
      </c>
      <c r="D139">
        <v>2</v>
      </c>
      <c r="E139">
        <v>1270</v>
      </c>
      <c r="F139" t="s">
        <v>141</v>
      </c>
      <c r="G139" s="11">
        <v>0</v>
      </c>
      <c r="H139" s="11">
        <v>285.83</v>
      </c>
      <c r="I139" s="11">
        <v>0</v>
      </c>
    </row>
    <row r="140" spans="1:9" x14ac:dyDescent="0.25">
      <c r="A140">
        <v>2026</v>
      </c>
      <c r="B140">
        <v>3</v>
      </c>
      <c r="C140" s="1" t="s">
        <v>556</v>
      </c>
      <c r="D140">
        <v>2</v>
      </c>
      <c r="E140">
        <v>1273</v>
      </c>
      <c r="F140" t="s">
        <v>142</v>
      </c>
      <c r="G140" s="11">
        <v>0</v>
      </c>
      <c r="H140" s="11">
        <v>383.8</v>
      </c>
      <c r="I140" s="11">
        <v>2000</v>
      </c>
    </row>
    <row r="141" spans="1:9" x14ac:dyDescent="0.25">
      <c r="A141">
        <v>2026</v>
      </c>
      <c r="B141">
        <v>3</v>
      </c>
      <c r="C141" s="1" t="s">
        <v>557</v>
      </c>
      <c r="D141">
        <v>2</v>
      </c>
      <c r="E141">
        <v>1274</v>
      </c>
      <c r="F141" t="s">
        <v>143</v>
      </c>
      <c r="G141" s="11">
        <v>0</v>
      </c>
      <c r="H141" s="11">
        <v>11923.59</v>
      </c>
      <c r="I141" s="11">
        <v>182000</v>
      </c>
    </row>
    <row r="142" spans="1:9" x14ac:dyDescent="0.25">
      <c r="A142">
        <v>2026</v>
      </c>
      <c r="B142">
        <v>3</v>
      </c>
      <c r="C142" s="1" t="s">
        <v>558</v>
      </c>
      <c r="D142">
        <v>2</v>
      </c>
      <c r="E142">
        <v>1012</v>
      </c>
      <c r="F142" t="s">
        <v>144</v>
      </c>
      <c r="G142" s="11">
        <v>0</v>
      </c>
      <c r="H142" s="11">
        <v>1523.67</v>
      </c>
      <c r="I142" s="11">
        <v>0</v>
      </c>
    </row>
    <row r="143" spans="1:9" x14ac:dyDescent="0.25">
      <c r="A143">
        <v>2026</v>
      </c>
      <c r="B143">
        <v>3</v>
      </c>
      <c r="C143" s="1" t="s">
        <v>559</v>
      </c>
      <c r="D143">
        <v>2</v>
      </c>
      <c r="E143">
        <v>1013</v>
      </c>
      <c r="F143" t="s">
        <v>145</v>
      </c>
      <c r="G143" s="11">
        <v>0</v>
      </c>
      <c r="H143" s="11">
        <v>9.7200000000000006</v>
      </c>
      <c r="I143" s="11">
        <v>0</v>
      </c>
    </row>
    <row r="144" spans="1:9" x14ac:dyDescent="0.25">
      <c r="A144">
        <v>2026</v>
      </c>
      <c r="B144">
        <v>3</v>
      </c>
      <c r="C144" s="1" t="s">
        <v>560</v>
      </c>
      <c r="D144">
        <v>5</v>
      </c>
      <c r="E144">
        <v>1256</v>
      </c>
      <c r="F144" t="s">
        <v>146</v>
      </c>
      <c r="G144" s="11">
        <v>0</v>
      </c>
      <c r="H144" s="11">
        <v>1706.31</v>
      </c>
      <c r="I144" s="11">
        <v>0</v>
      </c>
    </row>
    <row r="145" spans="1:9" x14ac:dyDescent="0.25">
      <c r="A145">
        <v>2026</v>
      </c>
      <c r="B145">
        <v>3</v>
      </c>
      <c r="C145" s="1" t="s">
        <v>561</v>
      </c>
      <c r="D145">
        <v>2</v>
      </c>
      <c r="E145">
        <v>1283</v>
      </c>
      <c r="F145" t="s">
        <v>147</v>
      </c>
      <c r="G145" s="11">
        <v>0</v>
      </c>
      <c r="H145" s="11">
        <v>43.93</v>
      </c>
      <c r="I145" s="11">
        <v>0</v>
      </c>
    </row>
    <row r="146" spans="1:9" x14ac:dyDescent="0.25">
      <c r="A146">
        <v>2026</v>
      </c>
      <c r="B146">
        <v>3</v>
      </c>
      <c r="C146" s="1" t="s">
        <v>562</v>
      </c>
      <c r="D146">
        <v>2</v>
      </c>
      <c r="E146">
        <v>1284</v>
      </c>
      <c r="F146" t="s">
        <v>148</v>
      </c>
      <c r="G146" s="11">
        <v>0</v>
      </c>
      <c r="H146" s="11">
        <v>616.39</v>
      </c>
      <c r="I146" s="11">
        <v>0</v>
      </c>
    </row>
    <row r="147" spans="1:9" x14ac:dyDescent="0.25">
      <c r="A147">
        <v>2026</v>
      </c>
      <c r="B147">
        <v>3</v>
      </c>
      <c r="C147" s="1" t="s">
        <v>563</v>
      </c>
      <c r="D147">
        <v>1</v>
      </c>
      <c r="E147">
        <v>1286</v>
      </c>
      <c r="F147" t="s">
        <v>149</v>
      </c>
      <c r="G147" s="11">
        <v>0</v>
      </c>
      <c r="H147" s="11">
        <v>1605.28</v>
      </c>
      <c r="I147" s="11">
        <v>0</v>
      </c>
    </row>
    <row r="148" spans="1:9" x14ac:dyDescent="0.25">
      <c r="A148">
        <v>2026</v>
      </c>
      <c r="B148">
        <v>3</v>
      </c>
      <c r="C148" s="1" t="s">
        <v>564</v>
      </c>
      <c r="D148">
        <v>5</v>
      </c>
      <c r="E148">
        <v>1000</v>
      </c>
      <c r="F148" t="s">
        <v>150</v>
      </c>
      <c r="G148" s="11">
        <v>0</v>
      </c>
      <c r="H148" s="11">
        <v>128.29</v>
      </c>
      <c r="I148" s="11">
        <v>0</v>
      </c>
    </row>
    <row r="149" spans="1:9" x14ac:dyDescent="0.25">
      <c r="A149">
        <v>2026</v>
      </c>
      <c r="B149">
        <v>3</v>
      </c>
      <c r="C149" s="1" t="s">
        <v>565</v>
      </c>
      <c r="D149">
        <v>5</v>
      </c>
      <c r="E149">
        <v>1001</v>
      </c>
      <c r="F149" t="s">
        <v>151</v>
      </c>
      <c r="G149" s="11">
        <v>0</v>
      </c>
      <c r="H149" s="11">
        <v>5621.66</v>
      </c>
      <c r="I149" s="11">
        <v>0</v>
      </c>
    </row>
    <row r="150" spans="1:9" x14ac:dyDescent="0.25">
      <c r="A150">
        <v>2026</v>
      </c>
      <c r="B150">
        <v>3</v>
      </c>
      <c r="C150" s="1" t="s">
        <v>566</v>
      </c>
      <c r="D150">
        <v>6</v>
      </c>
      <c r="E150">
        <v>1017</v>
      </c>
      <c r="F150" t="s">
        <v>152</v>
      </c>
      <c r="G150" s="11">
        <v>0</v>
      </c>
      <c r="H150" s="11">
        <v>6573.67</v>
      </c>
      <c r="I150" s="11">
        <v>0</v>
      </c>
    </row>
    <row r="151" spans="1:9" x14ac:dyDescent="0.25">
      <c r="A151">
        <v>2026</v>
      </c>
      <c r="B151">
        <v>3</v>
      </c>
      <c r="C151" s="1" t="s">
        <v>567</v>
      </c>
      <c r="D151">
        <v>5</v>
      </c>
      <c r="E151">
        <v>1004</v>
      </c>
      <c r="F151" t="s">
        <v>153</v>
      </c>
      <c r="G151" s="11">
        <v>0</v>
      </c>
      <c r="H151" s="11">
        <v>1730.32</v>
      </c>
      <c r="I151" s="11">
        <v>0</v>
      </c>
    </row>
    <row r="152" spans="1:9" x14ac:dyDescent="0.25">
      <c r="A152">
        <v>2026</v>
      </c>
      <c r="B152">
        <v>3</v>
      </c>
      <c r="C152" s="1" t="s">
        <v>568</v>
      </c>
      <c r="D152">
        <v>5</v>
      </c>
      <c r="E152">
        <v>1007</v>
      </c>
      <c r="F152" t="s">
        <v>154</v>
      </c>
      <c r="G152" s="11">
        <v>0</v>
      </c>
      <c r="H152" s="11">
        <v>25518.560000000001</v>
      </c>
      <c r="I152" s="11">
        <v>90000</v>
      </c>
    </row>
    <row r="153" spans="1:9" x14ac:dyDescent="0.25">
      <c r="A153">
        <v>2026</v>
      </c>
      <c r="B153">
        <v>3</v>
      </c>
      <c r="C153" s="1" t="s">
        <v>569</v>
      </c>
      <c r="D153">
        <v>5</v>
      </c>
      <c r="E153">
        <v>1008</v>
      </c>
      <c r="F153" t="s">
        <v>155</v>
      </c>
      <c r="G153" s="11">
        <v>0</v>
      </c>
      <c r="H153" s="11">
        <v>5114.7700000000004</v>
      </c>
      <c r="I153" s="11">
        <v>0</v>
      </c>
    </row>
    <row r="154" spans="1:9" x14ac:dyDescent="0.25">
      <c r="A154">
        <v>2026</v>
      </c>
      <c r="B154">
        <v>3</v>
      </c>
      <c r="C154" s="1" t="s">
        <v>570</v>
      </c>
      <c r="D154">
        <v>5</v>
      </c>
      <c r="E154">
        <v>1019</v>
      </c>
      <c r="F154" t="s">
        <v>156</v>
      </c>
      <c r="G154" s="11">
        <v>0</v>
      </c>
      <c r="H154" s="11">
        <v>15.98</v>
      </c>
      <c r="I154" s="11">
        <v>0</v>
      </c>
    </row>
    <row r="155" spans="1:9" x14ac:dyDescent="0.25">
      <c r="A155">
        <v>2026</v>
      </c>
      <c r="B155">
        <v>3</v>
      </c>
      <c r="C155" s="1" t="s">
        <v>571</v>
      </c>
      <c r="D155">
        <v>2</v>
      </c>
      <c r="E155">
        <v>1021</v>
      </c>
      <c r="F155" t="s">
        <v>157</v>
      </c>
      <c r="G155" s="11">
        <v>0</v>
      </c>
      <c r="H155" s="11">
        <v>0.01</v>
      </c>
      <c r="I155" s="11">
        <v>0</v>
      </c>
    </row>
    <row r="156" spans="1:9" x14ac:dyDescent="0.25">
      <c r="A156">
        <v>2026</v>
      </c>
      <c r="B156">
        <v>3</v>
      </c>
      <c r="C156" s="1" t="s">
        <v>572</v>
      </c>
      <c r="D156">
        <v>5</v>
      </c>
      <c r="E156">
        <v>1022</v>
      </c>
      <c r="F156" t="s">
        <v>158</v>
      </c>
      <c r="G156" s="11">
        <v>0</v>
      </c>
      <c r="H156" s="11">
        <v>307.97000000000003</v>
      </c>
      <c r="I156" s="11">
        <v>0</v>
      </c>
    </row>
    <row r="157" spans="1:9" x14ac:dyDescent="0.25">
      <c r="A157">
        <v>2026</v>
      </c>
      <c r="B157">
        <v>3</v>
      </c>
      <c r="C157" s="1" t="s">
        <v>573</v>
      </c>
      <c r="D157">
        <v>2</v>
      </c>
      <c r="E157">
        <v>1024</v>
      </c>
      <c r="F157" t="s">
        <v>159</v>
      </c>
      <c r="G157" s="11">
        <v>0</v>
      </c>
      <c r="H157" s="11">
        <v>2070.85</v>
      </c>
      <c r="I157" s="11">
        <v>0</v>
      </c>
    </row>
    <row r="158" spans="1:9" x14ac:dyDescent="0.25">
      <c r="A158">
        <v>2026</v>
      </c>
      <c r="B158">
        <v>3</v>
      </c>
      <c r="C158" s="1" t="s">
        <v>574</v>
      </c>
      <c r="D158">
        <v>2</v>
      </c>
      <c r="E158">
        <v>1025</v>
      </c>
      <c r="F158" t="s">
        <v>160</v>
      </c>
      <c r="G158" s="11">
        <v>0</v>
      </c>
      <c r="H158" s="11">
        <v>4342.4399999999996</v>
      </c>
      <c r="I158" s="11">
        <v>0</v>
      </c>
    </row>
    <row r="159" spans="1:9" x14ac:dyDescent="0.25">
      <c r="A159">
        <v>2026</v>
      </c>
      <c r="B159">
        <v>3</v>
      </c>
      <c r="C159" s="1" t="s">
        <v>575</v>
      </c>
      <c r="D159">
        <v>2</v>
      </c>
      <c r="E159">
        <v>1026</v>
      </c>
      <c r="F159" t="s">
        <v>161</v>
      </c>
      <c r="G159" s="11">
        <v>0</v>
      </c>
      <c r="H159" s="11">
        <v>7.42</v>
      </c>
      <c r="I159" s="11">
        <v>0</v>
      </c>
    </row>
    <row r="160" spans="1:9" x14ac:dyDescent="0.25">
      <c r="A160">
        <v>2026</v>
      </c>
      <c r="B160">
        <v>3</v>
      </c>
      <c r="C160" s="1" t="s">
        <v>576</v>
      </c>
      <c r="D160">
        <v>2</v>
      </c>
      <c r="E160">
        <v>1032</v>
      </c>
      <c r="F160" t="s">
        <v>162</v>
      </c>
      <c r="G160" s="11">
        <v>0</v>
      </c>
      <c r="H160" s="11">
        <v>837.46</v>
      </c>
      <c r="I160" s="11">
        <v>9000</v>
      </c>
    </row>
    <row r="161" spans="1:9" x14ac:dyDescent="0.25">
      <c r="A161">
        <v>2026</v>
      </c>
      <c r="B161">
        <v>3</v>
      </c>
      <c r="C161" s="1" t="s">
        <v>577</v>
      </c>
      <c r="D161">
        <v>2</v>
      </c>
      <c r="E161">
        <v>1257</v>
      </c>
      <c r="F161" t="s">
        <v>163</v>
      </c>
      <c r="G161" s="11">
        <v>0</v>
      </c>
      <c r="H161" s="11">
        <v>7094</v>
      </c>
      <c r="I161" s="11">
        <v>0</v>
      </c>
    </row>
    <row r="162" spans="1:9" x14ac:dyDescent="0.25">
      <c r="A162">
        <v>2026</v>
      </c>
      <c r="B162">
        <v>3</v>
      </c>
      <c r="C162" s="1" t="s">
        <v>578</v>
      </c>
      <c r="D162">
        <v>2</v>
      </c>
      <c r="E162">
        <v>1918</v>
      </c>
      <c r="F162" t="s">
        <v>164</v>
      </c>
      <c r="G162" s="11">
        <v>0</v>
      </c>
      <c r="H162" s="11">
        <v>1077.8399999999999</v>
      </c>
      <c r="I162" s="11">
        <v>0</v>
      </c>
    </row>
    <row r="163" spans="1:9" x14ac:dyDescent="0.25">
      <c r="A163">
        <v>2026</v>
      </c>
      <c r="B163">
        <v>3</v>
      </c>
      <c r="C163" s="1" t="s">
        <v>579</v>
      </c>
      <c r="D163">
        <v>5</v>
      </c>
      <c r="E163">
        <v>1921</v>
      </c>
      <c r="F163" t="s">
        <v>165</v>
      </c>
      <c r="G163" s="11">
        <v>0</v>
      </c>
      <c r="H163" s="11">
        <v>343.35</v>
      </c>
      <c r="I163" s="11">
        <v>0</v>
      </c>
    </row>
    <row r="164" spans="1:9" x14ac:dyDescent="0.25">
      <c r="A164">
        <v>2026</v>
      </c>
      <c r="B164">
        <v>3</v>
      </c>
      <c r="C164" s="1" t="s">
        <v>580</v>
      </c>
      <c r="D164">
        <v>5</v>
      </c>
      <c r="E164">
        <v>1924</v>
      </c>
      <c r="F164" t="s">
        <v>166</v>
      </c>
      <c r="G164" s="11">
        <v>0</v>
      </c>
      <c r="H164" s="11">
        <v>279.32</v>
      </c>
      <c r="I164" s="11">
        <v>0</v>
      </c>
    </row>
    <row r="165" spans="1:9" x14ac:dyDescent="0.25">
      <c r="A165">
        <v>2026</v>
      </c>
      <c r="B165">
        <v>3</v>
      </c>
      <c r="C165" s="1" t="s">
        <v>581</v>
      </c>
      <c r="D165">
        <v>1</v>
      </c>
      <c r="E165">
        <v>1925</v>
      </c>
      <c r="F165" t="s">
        <v>167</v>
      </c>
      <c r="G165" s="11">
        <v>0</v>
      </c>
      <c r="H165" s="11">
        <v>221.82</v>
      </c>
      <c r="I165" s="11">
        <v>0</v>
      </c>
    </row>
    <row r="166" spans="1:9" x14ac:dyDescent="0.25">
      <c r="A166">
        <v>2026</v>
      </c>
      <c r="B166">
        <v>3</v>
      </c>
      <c r="C166" s="1" t="s">
        <v>582</v>
      </c>
      <c r="D166">
        <v>2</v>
      </c>
      <c r="E166">
        <v>1927</v>
      </c>
      <c r="F166" t="s">
        <v>168</v>
      </c>
      <c r="G166" s="11">
        <v>0</v>
      </c>
      <c r="H166" s="11">
        <v>398.38</v>
      </c>
      <c r="I166" s="11">
        <v>0</v>
      </c>
    </row>
    <row r="167" spans="1:9" x14ac:dyDescent="0.25">
      <c r="A167">
        <v>2026</v>
      </c>
      <c r="B167">
        <v>3</v>
      </c>
      <c r="C167" s="1" t="s">
        <v>583</v>
      </c>
      <c r="D167">
        <v>5</v>
      </c>
      <c r="E167">
        <v>1928</v>
      </c>
      <c r="F167" t="s">
        <v>169</v>
      </c>
      <c r="G167" s="11">
        <v>0</v>
      </c>
      <c r="H167" s="11">
        <v>1252.06</v>
      </c>
      <c r="I167" s="11">
        <v>0</v>
      </c>
    </row>
    <row r="168" spans="1:9" x14ac:dyDescent="0.25">
      <c r="A168">
        <v>2026</v>
      </c>
      <c r="B168">
        <v>3</v>
      </c>
      <c r="C168" s="1" t="s">
        <v>584</v>
      </c>
      <c r="D168">
        <v>5</v>
      </c>
      <c r="E168">
        <v>1929</v>
      </c>
      <c r="F168" t="s">
        <v>170</v>
      </c>
      <c r="G168" s="11">
        <v>0</v>
      </c>
      <c r="H168" s="11">
        <v>164.47</v>
      </c>
      <c r="I168" s="11">
        <v>0</v>
      </c>
    </row>
    <row r="169" spans="1:9" x14ac:dyDescent="0.25">
      <c r="A169">
        <v>2026</v>
      </c>
      <c r="B169">
        <v>3</v>
      </c>
      <c r="C169" s="1" t="s">
        <v>585</v>
      </c>
      <c r="D169">
        <v>2</v>
      </c>
      <c r="E169">
        <v>1930</v>
      </c>
      <c r="F169" t="s">
        <v>171</v>
      </c>
      <c r="G169" s="11">
        <v>0</v>
      </c>
      <c r="H169" s="11">
        <v>486.51</v>
      </c>
      <c r="I169" s="11">
        <v>0</v>
      </c>
    </row>
    <row r="170" spans="1:9" x14ac:dyDescent="0.25">
      <c r="A170">
        <v>2026</v>
      </c>
      <c r="B170">
        <v>3</v>
      </c>
      <c r="C170" s="1" t="s">
        <v>586</v>
      </c>
      <c r="D170">
        <v>2</v>
      </c>
      <c r="E170">
        <v>1931</v>
      </c>
      <c r="F170" t="s">
        <v>172</v>
      </c>
      <c r="G170" s="11">
        <v>0</v>
      </c>
      <c r="H170" s="11">
        <v>843.53</v>
      </c>
      <c r="I170" s="11">
        <v>0</v>
      </c>
    </row>
    <row r="171" spans="1:9" x14ac:dyDescent="0.25">
      <c r="A171">
        <v>2026</v>
      </c>
      <c r="B171">
        <v>3</v>
      </c>
      <c r="C171" s="1" t="s">
        <v>587</v>
      </c>
      <c r="D171">
        <v>2</v>
      </c>
      <c r="E171">
        <v>1932</v>
      </c>
      <c r="F171" t="s">
        <v>173</v>
      </c>
      <c r="G171" s="11">
        <v>0</v>
      </c>
      <c r="H171" s="11">
        <v>393.99</v>
      </c>
      <c r="I171" s="11">
        <v>0</v>
      </c>
    </row>
    <row r="172" spans="1:9" x14ac:dyDescent="0.25">
      <c r="A172">
        <v>2026</v>
      </c>
      <c r="B172">
        <v>3</v>
      </c>
      <c r="C172" s="1" t="s">
        <v>588</v>
      </c>
      <c r="D172">
        <v>2</v>
      </c>
      <c r="E172">
        <v>1933</v>
      </c>
      <c r="F172" t="s">
        <v>174</v>
      </c>
      <c r="G172" s="11">
        <v>0</v>
      </c>
      <c r="H172" s="11">
        <v>54.38</v>
      </c>
      <c r="I172" s="11">
        <v>0</v>
      </c>
    </row>
    <row r="173" spans="1:9" x14ac:dyDescent="0.25">
      <c r="A173">
        <v>2026</v>
      </c>
      <c r="B173">
        <v>3</v>
      </c>
      <c r="C173" s="1" t="s">
        <v>589</v>
      </c>
      <c r="D173">
        <v>3</v>
      </c>
      <c r="E173">
        <v>1934</v>
      </c>
      <c r="F173" t="s">
        <v>175</v>
      </c>
      <c r="G173" s="11">
        <v>0</v>
      </c>
      <c r="H173" s="11">
        <v>5130.7299999999996</v>
      </c>
      <c r="I173" s="11">
        <v>20000</v>
      </c>
    </row>
    <row r="174" spans="1:9" x14ac:dyDescent="0.25">
      <c r="A174">
        <v>2026</v>
      </c>
      <c r="B174">
        <v>3</v>
      </c>
      <c r="C174" s="1" t="s">
        <v>590</v>
      </c>
      <c r="D174">
        <v>5</v>
      </c>
      <c r="E174">
        <v>1935</v>
      </c>
      <c r="F174" t="s">
        <v>176</v>
      </c>
      <c r="G174" s="11">
        <v>0</v>
      </c>
      <c r="H174" s="11">
        <v>14378.4</v>
      </c>
      <c r="I174" s="11">
        <v>0</v>
      </c>
    </row>
    <row r="175" spans="1:9" x14ac:dyDescent="0.25">
      <c r="A175">
        <v>2026</v>
      </c>
      <c r="B175">
        <v>3</v>
      </c>
      <c r="C175" s="1" t="s">
        <v>591</v>
      </c>
      <c r="D175">
        <v>5</v>
      </c>
      <c r="E175">
        <v>1936</v>
      </c>
      <c r="F175" t="s">
        <v>177</v>
      </c>
      <c r="G175" s="11">
        <v>0</v>
      </c>
      <c r="H175" s="11">
        <v>9018.6299999999992</v>
      </c>
      <c r="I175" s="11">
        <v>0</v>
      </c>
    </row>
    <row r="176" spans="1:9" x14ac:dyDescent="0.25">
      <c r="A176">
        <v>2026</v>
      </c>
      <c r="B176">
        <v>3</v>
      </c>
      <c r="C176" s="1" t="s">
        <v>592</v>
      </c>
      <c r="D176">
        <v>5</v>
      </c>
      <c r="E176">
        <v>1937</v>
      </c>
      <c r="F176" t="s">
        <v>178</v>
      </c>
      <c r="G176" s="11">
        <v>0</v>
      </c>
      <c r="H176" s="11">
        <v>1408.29</v>
      </c>
      <c r="I176" s="11">
        <v>0</v>
      </c>
    </row>
    <row r="177" spans="1:9" x14ac:dyDescent="0.25">
      <c r="A177">
        <v>2026</v>
      </c>
      <c r="B177">
        <v>3</v>
      </c>
      <c r="C177" s="1" t="s">
        <v>593</v>
      </c>
      <c r="D177">
        <v>3</v>
      </c>
      <c r="E177">
        <v>1939</v>
      </c>
      <c r="F177" t="s">
        <v>179</v>
      </c>
      <c r="G177" s="11">
        <v>0</v>
      </c>
      <c r="H177" s="11">
        <v>3170.5</v>
      </c>
      <c r="I177" s="11">
        <v>0</v>
      </c>
    </row>
    <row r="178" spans="1:9" x14ac:dyDescent="0.25">
      <c r="A178">
        <v>2026</v>
      </c>
      <c r="B178">
        <v>3</v>
      </c>
      <c r="C178" s="1" t="s">
        <v>594</v>
      </c>
      <c r="D178">
        <v>5</v>
      </c>
      <c r="E178">
        <v>5001</v>
      </c>
      <c r="F178" t="s">
        <v>180</v>
      </c>
      <c r="G178" s="11">
        <v>0</v>
      </c>
      <c r="H178" s="11">
        <v>347.72</v>
      </c>
      <c r="I178" s="11">
        <v>0</v>
      </c>
    </row>
    <row r="179" spans="1:9" x14ac:dyDescent="0.25">
      <c r="A179">
        <v>2026</v>
      </c>
      <c r="B179">
        <v>3</v>
      </c>
      <c r="C179" s="1" t="s">
        <v>595</v>
      </c>
      <c r="D179">
        <v>5</v>
      </c>
      <c r="E179">
        <v>5003</v>
      </c>
      <c r="F179" t="s">
        <v>181</v>
      </c>
      <c r="G179" s="11">
        <v>0</v>
      </c>
      <c r="H179" s="11">
        <v>384.87</v>
      </c>
      <c r="I179" s="11">
        <v>0</v>
      </c>
    </row>
    <row r="180" spans="1:9" x14ac:dyDescent="0.25">
      <c r="A180">
        <v>2026</v>
      </c>
      <c r="B180">
        <v>3</v>
      </c>
      <c r="C180" s="1" t="s">
        <v>596</v>
      </c>
      <c r="D180">
        <v>6</v>
      </c>
      <c r="E180">
        <v>1941</v>
      </c>
      <c r="F180" t="s">
        <v>182</v>
      </c>
      <c r="G180" s="11">
        <v>0</v>
      </c>
      <c r="H180" s="11">
        <v>10.23</v>
      </c>
      <c r="I180" s="11">
        <v>0</v>
      </c>
    </row>
    <row r="181" spans="1:9" x14ac:dyDescent="0.25">
      <c r="A181">
        <v>2026</v>
      </c>
      <c r="B181">
        <v>3</v>
      </c>
      <c r="C181" s="1" t="s">
        <v>597</v>
      </c>
      <c r="D181">
        <v>5</v>
      </c>
      <c r="E181">
        <v>1949</v>
      </c>
      <c r="F181" t="s">
        <v>183</v>
      </c>
      <c r="G181" s="11">
        <v>0</v>
      </c>
      <c r="H181" s="11">
        <v>1896.29</v>
      </c>
      <c r="I181" s="11">
        <v>0</v>
      </c>
    </row>
    <row r="182" spans="1:9" x14ac:dyDescent="0.25">
      <c r="A182">
        <v>2026</v>
      </c>
      <c r="B182">
        <v>3</v>
      </c>
      <c r="C182" s="1" t="s">
        <v>598</v>
      </c>
      <c r="D182">
        <v>5</v>
      </c>
      <c r="E182">
        <v>5004</v>
      </c>
      <c r="F182" t="s">
        <v>184</v>
      </c>
      <c r="G182" s="11">
        <v>0</v>
      </c>
      <c r="H182" s="11">
        <v>3412.23</v>
      </c>
      <c r="I182" s="11">
        <v>0</v>
      </c>
    </row>
    <row r="183" spans="1:9" x14ac:dyDescent="0.25">
      <c r="A183">
        <v>2026</v>
      </c>
      <c r="B183">
        <v>3</v>
      </c>
      <c r="C183" s="1" t="s">
        <v>599</v>
      </c>
      <c r="D183">
        <v>2</v>
      </c>
      <c r="E183">
        <v>5005</v>
      </c>
      <c r="F183" t="s">
        <v>185</v>
      </c>
      <c r="G183" s="11">
        <v>0</v>
      </c>
      <c r="H183" s="11">
        <v>886.65</v>
      </c>
      <c r="I183" s="11">
        <v>0</v>
      </c>
    </row>
    <row r="184" spans="1:9" x14ac:dyDescent="0.25">
      <c r="A184">
        <v>2026</v>
      </c>
      <c r="B184">
        <v>3</v>
      </c>
      <c r="C184" s="1" t="s">
        <v>600</v>
      </c>
      <c r="D184">
        <v>5</v>
      </c>
      <c r="E184">
        <v>5006</v>
      </c>
      <c r="F184" t="s">
        <v>186</v>
      </c>
      <c r="G184" s="11">
        <v>0</v>
      </c>
      <c r="H184" s="11">
        <v>8897.23</v>
      </c>
      <c r="I184" s="11">
        <v>0</v>
      </c>
    </row>
    <row r="185" spans="1:9" x14ac:dyDescent="0.25">
      <c r="A185">
        <v>2026</v>
      </c>
      <c r="B185">
        <v>3</v>
      </c>
      <c r="C185" s="1" t="s">
        <v>601</v>
      </c>
      <c r="D185">
        <v>6</v>
      </c>
      <c r="E185">
        <v>1945</v>
      </c>
      <c r="F185" t="s">
        <v>187</v>
      </c>
      <c r="G185" s="11">
        <v>0</v>
      </c>
      <c r="H185" s="11">
        <v>124404.13</v>
      </c>
      <c r="I185" s="11">
        <v>0</v>
      </c>
    </row>
    <row r="186" spans="1:9" x14ac:dyDescent="0.25">
      <c r="A186">
        <v>2026</v>
      </c>
      <c r="B186">
        <v>3</v>
      </c>
      <c r="C186" s="1" t="s">
        <v>602</v>
      </c>
      <c r="D186">
        <v>3</v>
      </c>
      <c r="E186">
        <v>1951</v>
      </c>
      <c r="F186" t="s">
        <v>188</v>
      </c>
      <c r="G186" s="11">
        <v>0</v>
      </c>
      <c r="H186" s="11">
        <v>38561.120000000003</v>
      </c>
      <c r="I186" s="11">
        <v>250000</v>
      </c>
    </row>
    <row r="187" spans="1:9" x14ac:dyDescent="0.25">
      <c r="A187">
        <v>2026</v>
      </c>
      <c r="B187">
        <v>3</v>
      </c>
      <c r="C187" s="1" t="s">
        <v>603</v>
      </c>
      <c r="D187">
        <v>5</v>
      </c>
      <c r="E187">
        <v>5008</v>
      </c>
      <c r="F187" t="s">
        <v>189</v>
      </c>
      <c r="G187" s="11">
        <v>0</v>
      </c>
      <c r="H187" s="11">
        <v>116.36</v>
      </c>
      <c r="I187" s="11">
        <v>0</v>
      </c>
    </row>
    <row r="188" spans="1:9" x14ac:dyDescent="0.25">
      <c r="A188">
        <v>2026</v>
      </c>
      <c r="B188">
        <v>3</v>
      </c>
      <c r="C188" s="1" t="s">
        <v>604</v>
      </c>
      <c r="D188">
        <v>5</v>
      </c>
      <c r="E188">
        <v>5009</v>
      </c>
      <c r="F188" t="s">
        <v>190</v>
      </c>
      <c r="G188" s="11">
        <v>0</v>
      </c>
      <c r="H188" s="11">
        <v>174.54</v>
      </c>
      <c r="I188" s="11">
        <v>0</v>
      </c>
    </row>
    <row r="189" spans="1:9" x14ac:dyDescent="0.25">
      <c r="A189">
        <v>2026</v>
      </c>
      <c r="B189">
        <v>3</v>
      </c>
      <c r="C189" s="1" t="s">
        <v>605</v>
      </c>
      <c r="D189">
        <v>5</v>
      </c>
      <c r="E189">
        <v>5010</v>
      </c>
      <c r="F189" t="s">
        <v>191</v>
      </c>
      <c r="G189" s="11">
        <v>0</v>
      </c>
      <c r="H189" s="11">
        <v>110.3</v>
      </c>
      <c r="I189" s="11">
        <v>0</v>
      </c>
    </row>
    <row r="190" spans="1:9" x14ac:dyDescent="0.25">
      <c r="A190">
        <v>2026</v>
      </c>
      <c r="B190">
        <v>3</v>
      </c>
      <c r="C190" s="1" t="s">
        <v>606</v>
      </c>
      <c r="D190">
        <v>5</v>
      </c>
      <c r="E190">
        <v>5013</v>
      </c>
      <c r="F190" t="s">
        <v>192</v>
      </c>
      <c r="G190" s="11">
        <v>0</v>
      </c>
      <c r="H190" s="11">
        <v>124.62</v>
      </c>
      <c r="I190" s="11">
        <v>0</v>
      </c>
    </row>
    <row r="191" spans="1:9" x14ac:dyDescent="0.25">
      <c r="A191">
        <v>2026</v>
      </c>
      <c r="B191">
        <v>3</v>
      </c>
      <c r="C191" s="1" t="s">
        <v>607</v>
      </c>
      <c r="D191">
        <v>5</v>
      </c>
      <c r="E191">
        <v>5014</v>
      </c>
      <c r="F191" t="s">
        <v>193</v>
      </c>
      <c r="G191" s="11">
        <v>0</v>
      </c>
      <c r="H191" s="11">
        <v>49.85</v>
      </c>
      <c r="I191" s="11">
        <v>0</v>
      </c>
    </row>
    <row r="192" spans="1:9" x14ac:dyDescent="0.25">
      <c r="A192">
        <v>2026</v>
      </c>
      <c r="B192">
        <v>3</v>
      </c>
      <c r="C192" s="1" t="s">
        <v>608</v>
      </c>
      <c r="D192">
        <v>5</v>
      </c>
      <c r="E192">
        <v>5015</v>
      </c>
      <c r="F192" t="s">
        <v>194</v>
      </c>
      <c r="G192" s="11">
        <v>0</v>
      </c>
      <c r="H192" s="11">
        <v>93.31</v>
      </c>
      <c r="I192" s="11">
        <v>0</v>
      </c>
    </row>
    <row r="193" spans="1:9" x14ac:dyDescent="0.25">
      <c r="A193">
        <v>2026</v>
      </c>
      <c r="B193">
        <v>3</v>
      </c>
      <c r="C193" s="1" t="s">
        <v>609</v>
      </c>
      <c r="D193">
        <v>5</v>
      </c>
      <c r="E193">
        <v>5016</v>
      </c>
      <c r="F193" t="s">
        <v>195</v>
      </c>
      <c r="G193" s="11">
        <v>0</v>
      </c>
      <c r="H193" s="11">
        <v>3511.05</v>
      </c>
      <c r="I193" s="11">
        <v>0</v>
      </c>
    </row>
    <row r="194" spans="1:9" x14ac:dyDescent="0.25">
      <c r="A194">
        <v>2026</v>
      </c>
      <c r="B194">
        <v>3</v>
      </c>
      <c r="C194" s="1" t="s">
        <v>610</v>
      </c>
      <c r="D194">
        <v>5</v>
      </c>
      <c r="E194">
        <v>5017</v>
      </c>
      <c r="F194" t="s">
        <v>196</v>
      </c>
      <c r="G194" s="11">
        <v>0</v>
      </c>
      <c r="H194" s="11">
        <v>5015.79</v>
      </c>
      <c r="I194" s="11">
        <v>0</v>
      </c>
    </row>
    <row r="195" spans="1:9" x14ac:dyDescent="0.25">
      <c r="A195">
        <v>2026</v>
      </c>
      <c r="B195">
        <v>3</v>
      </c>
      <c r="C195" s="1" t="s">
        <v>611</v>
      </c>
      <c r="D195">
        <v>5</v>
      </c>
      <c r="E195">
        <v>5018</v>
      </c>
      <c r="F195" t="s">
        <v>197</v>
      </c>
      <c r="G195" s="11">
        <v>0</v>
      </c>
      <c r="H195" s="11">
        <v>1731.96</v>
      </c>
      <c r="I195" s="11">
        <v>0</v>
      </c>
    </row>
    <row r="196" spans="1:9" x14ac:dyDescent="0.25">
      <c r="A196">
        <v>2026</v>
      </c>
      <c r="B196">
        <v>3</v>
      </c>
      <c r="C196" s="1" t="s">
        <v>612</v>
      </c>
      <c r="D196">
        <v>5</v>
      </c>
      <c r="E196">
        <v>5019</v>
      </c>
      <c r="F196" t="s">
        <v>198</v>
      </c>
      <c r="G196" s="11">
        <v>0</v>
      </c>
      <c r="H196" s="11">
        <v>987.57</v>
      </c>
      <c r="I196" s="11">
        <v>0</v>
      </c>
    </row>
    <row r="197" spans="1:9" x14ac:dyDescent="0.25">
      <c r="A197">
        <v>2026</v>
      </c>
      <c r="B197">
        <v>3</v>
      </c>
      <c r="C197" s="1" t="s">
        <v>613</v>
      </c>
      <c r="D197">
        <v>5</v>
      </c>
      <c r="E197">
        <v>5020</v>
      </c>
      <c r="F197" t="s">
        <v>199</v>
      </c>
      <c r="G197" s="11">
        <v>0</v>
      </c>
      <c r="H197" s="11">
        <v>1975.16</v>
      </c>
      <c r="I197" s="11">
        <v>0</v>
      </c>
    </row>
    <row r="198" spans="1:9" x14ac:dyDescent="0.25">
      <c r="A198">
        <v>2026</v>
      </c>
      <c r="B198">
        <v>3</v>
      </c>
      <c r="C198" s="1" t="s">
        <v>614</v>
      </c>
      <c r="D198">
        <v>5</v>
      </c>
      <c r="E198">
        <v>5021</v>
      </c>
      <c r="F198" t="s">
        <v>200</v>
      </c>
      <c r="G198" s="11">
        <v>0</v>
      </c>
      <c r="H198" s="11">
        <v>1975.16</v>
      </c>
      <c r="I198" s="11">
        <v>0</v>
      </c>
    </row>
    <row r="199" spans="1:9" x14ac:dyDescent="0.25">
      <c r="A199">
        <v>2026</v>
      </c>
      <c r="B199">
        <v>3</v>
      </c>
      <c r="C199" s="1" t="s">
        <v>615</v>
      </c>
      <c r="D199">
        <v>5</v>
      </c>
      <c r="E199">
        <v>5022</v>
      </c>
      <c r="F199" t="s">
        <v>201</v>
      </c>
      <c r="G199" s="11">
        <v>0</v>
      </c>
      <c r="H199" s="11">
        <v>0.21</v>
      </c>
      <c r="I199" s="11">
        <v>0</v>
      </c>
    </row>
    <row r="200" spans="1:9" x14ac:dyDescent="0.25">
      <c r="A200">
        <v>2026</v>
      </c>
      <c r="B200">
        <v>3</v>
      </c>
      <c r="C200" s="1" t="s">
        <v>616</v>
      </c>
      <c r="D200">
        <v>2</v>
      </c>
      <c r="E200">
        <v>1958</v>
      </c>
      <c r="F200" t="s">
        <v>202</v>
      </c>
      <c r="G200" s="11">
        <v>0</v>
      </c>
      <c r="H200" s="11">
        <v>4303.5600000000004</v>
      </c>
      <c r="I200" s="11">
        <v>0</v>
      </c>
    </row>
    <row r="201" spans="1:9" x14ac:dyDescent="0.25">
      <c r="A201">
        <v>2026</v>
      </c>
      <c r="B201">
        <v>3</v>
      </c>
      <c r="C201" s="1" t="s">
        <v>617</v>
      </c>
      <c r="D201">
        <v>5</v>
      </c>
      <c r="E201">
        <v>5023</v>
      </c>
      <c r="F201" t="s">
        <v>203</v>
      </c>
      <c r="G201" s="11">
        <v>0</v>
      </c>
      <c r="H201" s="11">
        <v>1704.67</v>
      </c>
      <c r="I201" s="11">
        <v>0</v>
      </c>
    </row>
    <row r="202" spans="1:9" x14ac:dyDescent="0.25">
      <c r="A202">
        <v>2026</v>
      </c>
      <c r="B202">
        <v>3</v>
      </c>
      <c r="C202" s="1" t="s">
        <v>618</v>
      </c>
      <c r="D202">
        <v>5</v>
      </c>
      <c r="E202">
        <v>5024</v>
      </c>
      <c r="F202" t="s">
        <v>204</v>
      </c>
      <c r="G202" s="11">
        <v>0</v>
      </c>
      <c r="H202" s="11">
        <v>1694.46</v>
      </c>
      <c r="I202" s="11">
        <v>0</v>
      </c>
    </row>
    <row r="203" spans="1:9" x14ac:dyDescent="0.25">
      <c r="A203">
        <v>2026</v>
      </c>
      <c r="B203">
        <v>3</v>
      </c>
      <c r="C203" s="1" t="s">
        <v>619</v>
      </c>
      <c r="D203">
        <v>5</v>
      </c>
      <c r="E203">
        <v>5025</v>
      </c>
      <c r="F203" t="s">
        <v>205</v>
      </c>
      <c r="G203" s="11">
        <v>0</v>
      </c>
      <c r="H203" s="11">
        <v>16775.21</v>
      </c>
      <c r="I203" s="11">
        <v>0</v>
      </c>
    </row>
    <row r="204" spans="1:9" x14ac:dyDescent="0.25">
      <c r="A204">
        <v>2026</v>
      </c>
      <c r="B204">
        <v>3</v>
      </c>
      <c r="C204" s="1" t="s">
        <v>620</v>
      </c>
      <c r="D204">
        <v>2</v>
      </c>
      <c r="E204">
        <v>5026</v>
      </c>
      <c r="F204" t="s">
        <v>206</v>
      </c>
      <c r="G204" s="11">
        <v>0</v>
      </c>
      <c r="H204" s="11">
        <v>17101.740000000002</v>
      </c>
      <c r="I204" s="11">
        <v>0</v>
      </c>
    </row>
    <row r="205" spans="1:9" x14ac:dyDescent="0.25">
      <c r="A205">
        <v>2026</v>
      </c>
      <c r="B205">
        <v>3</v>
      </c>
      <c r="C205" s="1" t="s">
        <v>621</v>
      </c>
      <c r="D205">
        <v>5</v>
      </c>
      <c r="E205">
        <v>5027</v>
      </c>
      <c r="F205" t="s">
        <v>207</v>
      </c>
      <c r="G205" s="11">
        <v>0</v>
      </c>
      <c r="H205" s="11">
        <v>5094.29</v>
      </c>
      <c r="I205" s="11">
        <v>0</v>
      </c>
    </row>
    <row r="206" spans="1:9" x14ac:dyDescent="0.25">
      <c r="A206">
        <v>2026</v>
      </c>
      <c r="B206">
        <v>3</v>
      </c>
      <c r="C206" s="1" t="s">
        <v>622</v>
      </c>
      <c r="D206">
        <v>5</v>
      </c>
      <c r="E206">
        <v>5028</v>
      </c>
      <c r="F206" t="s">
        <v>208</v>
      </c>
      <c r="G206" s="11">
        <v>0</v>
      </c>
      <c r="H206" s="11">
        <v>2547.15</v>
      </c>
      <c r="I206" s="11">
        <v>0</v>
      </c>
    </row>
    <row r="207" spans="1:9" x14ac:dyDescent="0.25">
      <c r="A207">
        <v>2026</v>
      </c>
      <c r="B207">
        <v>3</v>
      </c>
      <c r="C207" s="1" t="s">
        <v>623</v>
      </c>
      <c r="D207">
        <v>5</v>
      </c>
      <c r="E207">
        <v>1956</v>
      </c>
      <c r="F207" t="s">
        <v>209</v>
      </c>
      <c r="G207" s="11">
        <v>0</v>
      </c>
      <c r="H207" s="11">
        <v>560.88</v>
      </c>
      <c r="I207" s="11">
        <v>0</v>
      </c>
    </row>
    <row r="208" spans="1:9" x14ac:dyDescent="0.25">
      <c r="A208">
        <v>2026</v>
      </c>
      <c r="B208">
        <v>3</v>
      </c>
      <c r="C208" s="1" t="s">
        <v>624</v>
      </c>
      <c r="D208">
        <v>5</v>
      </c>
      <c r="E208">
        <v>1957</v>
      </c>
      <c r="F208" t="s">
        <v>210</v>
      </c>
      <c r="G208" s="11">
        <v>0</v>
      </c>
      <c r="H208" s="11">
        <v>74020.17</v>
      </c>
      <c r="I208" s="11">
        <v>0</v>
      </c>
    </row>
    <row r="209" spans="1:9" x14ac:dyDescent="0.25">
      <c r="A209">
        <v>2026</v>
      </c>
      <c r="B209">
        <v>3</v>
      </c>
      <c r="C209" s="1" t="s">
        <v>625</v>
      </c>
      <c r="D209">
        <v>5</v>
      </c>
      <c r="E209">
        <v>1954</v>
      </c>
      <c r="F209" t="s">
        <v>211</v>
      </c>
      <c r="G209" s="11">
        <v>0</v>
      </c>
      <c r="H209" s="11">
        <v>3201.42</v>
      </c>
      <c r="I209" s="11">
        <v>20000</v>
      </c>
    </row>
    <row r="210" spans="1:9" x14ac:dyDescent="0.25">
      <c r="A210">
        <v>2026</v>
      </c>
      <c r="B210">
        <v>3</v>
      </c>
      <c r="C210" s="1" t="s">
        <v>626</v>
      </c>
      <c r="D210">
        <v>5</v>
      </c>
      <c r="E210">
        <v>1955</v>
      </c>
      <c r="F210" t="s">
        <v>212</v>
      </c>
      <c r="G210" s="11">
        <v>0</v>
      </c>
      <c r="H210" s="11">
        <v>8657.77</v>
      </c>
      <c r="I210" s="11">
        <v>40000</v>
      </c>
    </row>
    <row r="211" spans="1:9" x14ac:dyDescent="0.25">
      <c r="A211">
        <v>2026</v>
      </c>
      <c r="B211">
        <v>3</v>
      </c>
      <c r="C211" s="1" t="s">
        <v>627</v>
      </c>
      <c r="D211">
        <v>1</v>
      </c>
      <c r="E211">
        <v>1959</v>
      </c>
      <c r="F211" t="s">
        <v>213</v>
      </c>
      <c r="G211" s="11">
        <v>0</v>
      </c>
      <c r="H211" s="11">
        <v>9.5500000000000007</v>
      </c>
      <c r="I211" s="11">
        <v>0</v>
      </c>
    </row>
    <row r="212" spans="1:9" x14ac:dyDescent="0.25">
      <c r="A212">
        <v>2026</v>
      </c>
      <c r="B212">
        <v>3</v>
      </c>
      <c r="C212" s="1" t="s">
        <v>628</v>
      </c>
      <c r="F212" t="s">
        <v>214</v>
      </c>
      <c r="G212" s="11">
        <v>0</v>
      </c>
      <c r="H212" s="11">
        <v>0</v>
      </c>
      <c r="I212" s="11">
        <v>19000</v>
      </c>
    </row>
    <row r="213" spans="1:9" x14ac:dyDescent="0.25">
      <c r="A213">
        <v>2026</v>
      </c>
      <c r="B213">
        <v>3</v>
      </c>
      <c r="C213" s="1" t="s">
        <v>629</v>
      </c>
      <c r="F213" t="s">
        <v>214</v>
      </c>
      <c r="G213" s="11">
        <v>0</v>
      </c>
      <c r="H213" s="11">
        <v>0</v>
      </c>
      <c r="I213" s="11">
        <v>19000</v>
      </c>
    </row>
    <row r="214" spans="1:9" x14ac:dyDescent="0.25">
      <c r="A214">
        <v>2026</v>
      </c>
      <c r="B214">
        <v>3</v>
      </c>
      <c r="C214" s="1" t="s">
        <v>630</v>
      </c>
      <c r="D214">
        <v>1</v>
      </c>
      <c r="E214">
        <v>1058</v>
      </c>
      <c r="F214" t="s">
        <v>215</v>
      </c>
      <c r="G214" s="11">
        <v>0</v>
      </c>
      <c r="H214" s="11">
        <v>0</v>
      </c>
      <c r="I214" s="11">
        <v>19000</v>
      </c>
    </row>
    <row r="215" spans="1:9" x14ac:dyDescent="0.25">
      <c r="A215">
        <v>2026</v>
      </c>
      <c r="B215">
        <v>3</v>
      </c>
      <c r="C215" s="1" t="s">
        <v>631</v>
      </c>
      <c r="F215" t="s">
        <v>216</v>
      </c>
      <c r="G215" s="11">
        <v>95336470.739999995</v>
      </c>
      <c r="H215" s="11">
        <v>608813729.71000004</v>
      </c>
      <c r="I215" s="11">
        <v>2960867000</v>
      </c>
    </row>
    <row r="216" spans="1:9" x14ac:dyDescent="0.25">
      <c r="A216">
        <v>2026</v>
      </c>
      <c r="B216">
        <v>3</v>
      </c>
      <c r="C216" s="1" t="s">
        <v>632</v>
      </c>
      <c r="F216" t="s">
        <v>217</v>
      </c>
      <c r="G216" s="11">
        <v>12891625.810000001</v>
      </c>
      <c r="H216" s="11">
        <v>88606987.120000005</v>
      </c>
      <c r="I216" s="11">
        <v>461560000</v>
      </c>
    </row>
    <row r="217" spans="1:9" x14ac:dyDescent="0.25">
      <c r="A217">
        <v>2026</v>
      </c>
      <c r="B217">
        <v>3</v>
      </c>
      <c r="C217" s="1" t="s">
        <v>633</v>
      </c>
      <c r="F217" t="s">
        <v>218</v>
      </c>
      <c r="G217" s="11">
        <v>0</v>
      </c>
      <c r="H217" s="11">
        <v>29562228.620000001</v>
      </c>
      <c r="I217" s="11">
        <v>168114000</v>
      </c>
    </row>
    <row r="218" spans="1:9" x14ac:dyDescent="0.25">
      <c r="A218">
        <v>2026</v>
      </c>
      <c r="B218">
        <v>3</v>
      </c>
      <c r="C218" s="1" t="s">
        <v>634</v>
      </c>
      <c r="F218" t="s">
        <v>219</v>
      </c>
      <c r="G218" s="11">
        <v>0</v>
      </c>
      <c r="H218" s="11">
        <v>29544384.460000001</v>
      </c>
      <c r="I218" s="11">
        <v>167629000</v>
      </c>
    </row>
    <row r="219" spans="1:9" x14ac:dyDescent="0.25">
      <c r="A219">
        <v>2026</v>
      </c>
      <c r="B219">
        <v>3</v>
      </c>
      <c r="C219" s="1" t="s">
        <v>635</v>
      </c>
      <c r="F219" t="s">
        <v>220</v>
      </c>
      <c r="G219" s="11">
        <v>0</v>
      </c>
      <c r="H219" s="11">
        <v>29544384.460000001</v>
      </c>
      <c r="I219" s="11">
        <v>148909000</v>
      </c>
    </row>
    <row r="220" spans="1:9" x14ac:dyDescent="0.25">
      <c r="A220">
        <v>2026</v>
      </c>
      <c r="B220">
        <v>3</v>
      </c>
      <c r="C220" s="1" t="s">
        <v>636</v>
      </c>
      <c r="D220">
        <v>1</v>
      </c>
      <c r="E220">
        <v>1163</v>
      </c>
      <c r="F220" t="s">
        <v>221</v>
      </c>
      <c r="G220" s="11">
        <v>0</v>
      </c>
      <c r="H220" s="11">
        <v>29544384.460000001</v>
      </c>
      <c r="I220" s="11">
        <v>148909000</v>
      </c>
    </row>
    <row r="221" spans="1:9" x14ac:dyDescent="0.25">
      <c r="A221">
        <v>2026</v>
      </c>
      <c r="B221">
        <v>3</v>
      </c>
      <c r="C221" s="1" t="s">
        <v>637</v>
      </c>
      <c r="F221" t="s">
        <v>222</v>
      </c>
      <c r="G221" s="11">
        <v>0</v>
      </c>
      <c r="H221" s="11">
        <v>0</v>
      </c>
      <c r="I221" s="11">
        <v>18720000</v>
      </c>
    </row>
    <row r="222" spans="1:9" x14ac:dyDescent="0.25">
      <c r="A222">
        <v>2026</v>
      </c>
      <c r="B222">
        <v>3</v>
      </c>
      <c r="C222" s="1" t="s">
        <v>638</v>
      </c>
      <c r="D222">
        <v>1</v>
      </c>
      <c r="E222">
        <v>2962</v>
      </c>
      <c r="F222" t="s">
        <v>223</v>
      </c>
      <c r="G222" s="11">
        <v>0</v>
      </c>
      <c r="H222" s="11">
        <v>0</v>
      </c>
      <c r="I222" s="11">
        <v>6505000</v>
      </c>
    </row>
    <row r="223" spans="1:9" x14ac:dyDescent="0.25">
      <c r="A223">
        <v>2026</v>
      </c>
      <c r="B223">
        <v>3</v>
      </c>
      <c r="C223" s="1" t="s">
        <v>639</v>
      </c>
      <c r="D223">
        <v>1</v>
      </c>
      <c r="E223">
        <v>2961</v>
      </c>
      <c r="F223" t="s">
        <v>224</v>
      </c>
      <c r="G223" s="11">
        <v>0</v>
      </c>
      <c r="H223" s="11">
        <v>0</v>
      </c>
      <c r="I223" s="11">
        <v>6362000</v>
      </c>
    </row>
    <row r="224" spans="1:9" x14ac:dyDescent="0.25">
      <c r="A224">
        <v>2026</v>
      </c>
      <c r="B224">
        <v>3</v>
      </c>
      <c r="C224" s="1" t="s">
        <v>640</v>
      </c>
      <c r="D224">
        <v>1</v>
      </c>
      <c r="E224">
        <v>2013</v>
      </c>
      <c r="F224" t="s">
        <v>225</v>
      </c>
      <c r="G224" s="11">
        <v>0</v>
      </c>
      <c r="H224" s="11">
        <v>0</v>
      </c>
      <c r="I224" s="11">
        <v>5853000</v>
      </c>
    </row>
    <row r="225" spans="1:9" x14ac:dyDescent="0.25">
      <c r="A225">
        <v>2026</v>
      </c>
      <c r="B225">
        <v>3</v>
      </c>
      <c r="C225" s="1" t="s">
        <v>641</v>
      </c>
      <c r="F225" t="s">
        <v>226</v>
      </c>
      <c r="G225" s="11">
        <v>0</v>
      </c>
      <c r="H225" s="11">
        <v>17844.16</v>
      </c>
      <c r="I225" s="11">
        <v>485000</v>
      </c>
    </row>
    <row r="226" spans="1:9" x14ac:dyDescent="0.25">
      <c r="A226">
        <v>2026</v>
      </c>
      <c r="B226">
        <v>3</v>
      </c>
      <c r="C226" s="1" t="s">
        <v>642</v>
      </c>
      <c r="D226">
        <v>1</v>
      </c>
      <c r="E226">
        <v>1198</v>
      </c>
      <c r="F226" t="s">
        <v>227</v>
      </c>
      <c r="G226" s="11">
        <v>0</v>
      </c>
      <c r="H226" s="11">
        <v>17844.16</v>
      </c>
      <c r="I226" s="11">
        <v>485000</v>
      </c>
    </row>
    <row r="227" spans="1:9" x14ac:dyDescent="0.25">
      <c r="A227">
        <v>2026</v>
      </c>
      <c r="B227">
        <v>3</v>
      </c>
      <c r="C227" s="1" t="s">
        <v>643</v>
      </c>
      <c r="F227" t="s">
        <v>228</v>
      </c>
      <c r="G227" s="11">
        <v>174804.85</v>
      </c>
      <c r="H227" s="11">
        <v>1873702.79</v>
      </c>
      <c r="I227" s="11">
        <v>18165000</v>
      </c>
    </row>
    <row r="228" spans="1:9" x14ac:dyDescent="0.25">
      <c r="A228">
        <v>2026</v>
      </c>
      <c r="B228">
        <v>3</v>
      </c>
      <c r="C228" s="1" t="s">
        <v>644</v>
      </c>
      <c r="F228" t="s">
        <v>229</v>
      </c>
      <c r="G228" s="11">
        <v>0</v>
      </c>
      <c r="H228" s="11">
        <v>19448.169999999998</v>
      </c>
      <c r="I228" s="11">
        <v>315000</v>
      </c>
    </row>
    <row r="229" spans="1:9" x14ac:dyDescent="0.25">
      <c r="A229">
        <v>2026</v>
      </c>
      <c r="B229">
        <v>3</v>
      </c>
      <c r="C229" s="1" t="s">
        <v>645</v>
      </c>
      <c r="D229">
        <v>1</v>
      </c>
      <c r="E229">
        <v>1171</v>
      </c>
      <c r="F229" t="s">
        <v>230</v>
      </c>
      <c r="G229" s="11">
        <v>0</v>
      </c>
      <c r="H229" s="11">
        <v>19448.169999999998</v>
      </c>
      <c r="I229" s="11">
        <v>315000</v>
      </c>
    </row>
    <row r="230" spans="1:9" x14ac:dyDescent="0.25">
      <c r="A230">
        <v>2026</v>
      </c>
      <c r="B230">
        <v>3</v>
      </c>
      <c r="C230" s="1" t="s">
        <v>646</v>
      </c>
      <c r="F230" t="s">
        <v>231</v>
      </c>
      <c r="G230" s="11">
        <v>0</v>
      </c>
      <c r="H230" s="11">
        <v>99071.32</v>
      </c>
      <c r="I230" s="11">
        <v>684000</v>
      </c>
    </row>
    <row r="231" spans="1:9" x14ac:dyDescent="0.25">
      <c r="A231">
        <v>2026</v>
      </c>
      <c r="B231">
        <v>3</v>
      </c>
      <c r="C231" s="1" t="s">
        <v>647</v>
      </c>
      <c r="D231">
        <v>1</v>
      </c>
      <c r="E231">
        <v>2275</v>
      </c>
      <c r="F231" t="s">
        <v>232</v>
      </c>
      <c r="G231" s="11">
        <v>0</v>
      </c>
      <c r="H231" s="11">
        <v>99071.32</v>
      </c>
      <c r="I231" s="11">
        <v>684000</v>
      </c>
    </row>
    <row r="232" spans="1:9" x14ac:dyDescent="0.25">
      <c r="A232">
        <v>2026</v>
      </c>
      <c r="B232">
        <v>3</v>
      </c>
      <c r="C232" s="1" t="s">
        <v>648</v>
      </c>
      <c r="F232" t="s">
        <v>233</v>
      </c>
      <c r="G232" s="11">
        <v>174804.85</v>
      </c>
      <c r="H232" s="11">
        <v>1755183.3</v>
      </c>
      <c r="I232" s="11">
        <v>17166000</v>
      </c>
    </row>
    <row r="233" spans="1:9" x14ac:dyDescent="0.25">
      <c r="A233">
        <v>2026</v>
      </c>
      <c r="B233">
        <v>3</v>
      </c>
      <c r="C233" s="1" t="s">
        <v>649</v>
      </c>
      <c r="F233" t="s">
        <v>234</v>
      </c>
      <c r="G233" s="11">
        <v>174804.85</v>
      </c>
      <c r="H233" s="11">
        <v>1337851.92</v>
      </c>
      <c r="I233" s="11">
        <v>13602000</v>
      </c>
    </row>
    <row r="234" spans="1:9" x14ac:dyDescent="0.25">
      <c r="A234">
        <v>2026</v>
      </c>
      <c r="B234">
        <v>3</v>
      </c>
      <c r="C234" s="1" t="s">
        <v>650</v>
      </c>
      <c r="D234">
        <v>1</v>
      </c>
      <c r="E234">
        <v>1201</v>
      </c>
      <c r="F234" t="s">
        <v>235</v>
      </c>
      <c r="G234" s="11">
        <v>174804.85</v>
      </c>
      <c r="H234" s="11">
        <v>1337851.92</v>
      </c>
      <c r="I234" s="11">
        <v>13602000</v>
      </c>
    </row>
    <row r="235" spans="1:9" x14ac:dyDescent="0.25">
      <c r="A235">
        <v>2026</v>
      </c>
      <c r="B235">
        <v>3</v>
      </c>
      <c r="C235" s="1" t="s">
        <v>651</v>
      </c>
      <c r="F235" t="s">
        <v>236</v>
      </c>
      <c r="G235" s="11">
        <v>0</v>
      </c>
      <c r="H235" s="11">
        <v>15531.34</v>
      </c>
      <c r="I235" s="11">
        <v>450000</v>
      </c>
    </row>
    <row r="236" spans="1:9" x14ac:dyDescent="0.25">
      <c r="A236">
        <v>2026</v>
      </c>
      <c r="B236">
        <v>3</v>
      </c>
      <c r="C236" s="1" t="s">
        <v>652</v>
      </c>
      <c r="D236">
        <v>1</v>
      </c>
      <c r="E236">
        <v>1202</v>
      </c>
      <c r="F236" t="s">
        <v>237</v>
      </c>
      <c r="G236" s="11">
        <v>0</v>
      </c>
      <c r="H236" s="11">
        <v>15531.34</v>
      </c>
      <c r="I236" s="11">
        <v>450000</v>
      </c>
    </row>
    <row r="237" spans="1:9" x14ac:dyDescent="0.25">
      <c r="A237">
        <v>2026</v>
      </c>
      <c r="B237">
        <v>3</v>
      </c>
      <c r="C237" s="1" t="s">
        <v>653</v>
      </c>
      <c r="F237" t="s">
        <v>238</v>
      </c>
      <c r="G237" s="11">
        <v>0</v>
      </c>
      <c r="H237" s="11">
        <v>401800.04</v>
      </c>
      <c r="I237" s="11">
        <v>3114000</v>
      </c>
    </row>
    <row r="238" spans="1:9" x14ac:dyDescent="0.25">
      <c r="A238">
        <v>2026</v>
      </c>
      <c r="B238">
        <v>3</v>
      </c>
      <c r="C238" s="1" t="s">
        <v>654</v>
      </c>
      <c r="D238">
        <v>1</v>
      </c>
      <c r="E238">
        <v>1203</v>
      </c>
      <c r="F238" t="s">
        <v>239</v>
      </c>
      <c r="G238" s="11">
        <v>0</v>
      </c>
      <c r="H238" s="11">
        <v>401800.04</v>
      </c>
      <c r="I238" s="11">
        <v>3114000</v>
      </c>
    </row>
    <row r="239" spans="1:9" x14ac:dyDescent="0.25">
      <c r="A239">
        <v>2026</v>
      </c>
      <c r="B239">
        <v>3</v>
      </c>
      <c r="C239" s="1" t="s">
        <v>655</v>
      </c>
      <c r="F239" t="s">
        <v>240</v>
      </c>
      <c r="G239" s="11">
        <v>12349873.439999999</v>
      </c>
      <c r="H239" s="11">
        <v>44332451.240000002</v>
      </c>
      <c r="I239" s="11">
        <v>211046000</v>
      </c>
    </row>
    <row r="240" spans="1:9" x14ac:dyDescent="0.25">
      <c r="A240">
        <v>2026</v>
      </c>
      <c r="B240">
        <v>3</v>
      </c>
      <c r="C240" s="1" t="s">
        <v>656</v>
      </c>
      <c r="F240" t="s">
        <v>241</v>
      </c>
      <c r="G240" s="11">
        <v>12349873.439999999</v>
      </c>
      <c r="H240" s="11">
        <v>44332451.240000002</v>
      </c>
      <c r="I240" s="11">
        <v>211046000</v>
      </c>
    </row>
    <row r="241" spans="1:9" x14ac:dyDescent="0.25">
      <c r="A241">
        <v>2026</v>
      </c>
      <c r="B241">
        <v>3</v>
      </c>
      <c r="C241" s="1" t="s">
        <v>657</v>
      </c>
      <c r="F241" t="s">
        <v>242</v>
      </c>
      <c r="G241" s="11">
        <v>1920.12</v>
      </c>
      <c r="H241" s="11">
        <v>6390775.8399999999</v>
      </c>
      <c r="I241" s="11">
        <v>41850000</v>
      </c>
    </row>
    <row r="242" spans="1:9" x14ac:dyDescent="0.25">
      <c r="A242">
        <v>2026</v>
      </c>
      <c r="B242">
        <v>3</v>
      </c>
      <c r="C242" s="1" t="s">
        <v>658</v>
      </c>
      <c r="D242">
        <v>5</v>
      </c>
      <c r="E242">
        <v>1420</v>
      </c>
      <c r="F242" t="s">
        <v>243</v>
      </c>
      <c r="G242" s="11">
        <v>1920.12</v>
      </c>
      <c r="H242" s="11">
        <v>4954569.84</v>
      </c>
      <c r="I242" s="11">
        <v>32150000</v>
      </c>
    </row>
    <row r="243" spans="1:9" x14ac:dyDescent="0.25">
      <c r="A243">
        <v>2026</v>
      </c>
      <c r="B243">
        <v>3</v>
      </c>
      <c r="C243" s="1" t="s">
        <v>659</v>
      </c>
      <c r="D243">
        <v>5</v>
      </c>
      <c r="E243">
        <v>2003</v>
      </c>
      <c r="F243" t="s">
        <v>244</v>
      </c>
      <c r="G243" s="11">
        <v>0</v>
      </c>
      <c r="H243" s="11">
        <v>1436206</v>
      </c>
      <c r="I243" s="11">
        <v>9700000</v>
      </c>
    </row>
    <row r="244" spans="1:9" x14ac:dyDescent="0.25">
      <c r="A244">
        <v>2026</v>
      </c>
      <c r="B244">
        <v>3</v>
      </c>
      <c r="C244" s="1" t="s">
        <v>660</v>
      </c>
      <c r="F244" t="s">
        <v>245</v>
      </c>
      <c r="G244" s="11">
        <v>10994184.08</v>
      </c>
      <c r="H244" s="11">
        <v>33593175.969999999</v>
      </c>
      <c r="I244" s="11">
        <v>146239000</v>
      </c>
    </row>
    <row r="245" spans="1:9" x14ac:dyDescent="0.25">
      <c r="A245">
        <v>2026</v>
      </c>
      <c r="B245">
        <v>3</v>
      </c>
      <c r="C245" s="1" t="s">
        <v>661</v>
      </c>
      <c r="D245">
        <v>5</v>
      </c>
      <c r="E245">
        <v>1406</v>
      </c>
      <c r="F245" t="s">
        <v>246</v>
      </c>
      <c r="G245" s="11">
        <v>10994184.08</v>
      </c>
      <c r="H245" s="11">
        <v>33593175.969999999</v>
      </c>
      <c r="I245" s="11">
        <v>146239000</v>
      </c>
    </row>
    <row r="246" spans="1:9" x14ac:dyDescent="0.25">
      <c r="A246">
        <v>2026</v>
      </c>
      <c r="B246">
        <v>3</v>
      </c>
      <c r="C246" s="1" t="s">
        <v>662</v>
      </c>
      <c r="F246" t="s">
        <v>247</v>
      </c>
      <c r="G246" s="11">
        <v>965082.02</v>
      </c>
      <c r="H246" s="11">
        <v>2528804.4500000002</v>
      </c>
      <c r="I246" s="11">
        <v>10806000</v>
      </c>
    </row>
    <row r="247" spans="1:9" x14ac:dyDescent="0.25">
      <c r="A247">
        <v>2026</v>
      </c>
      <c r="B247">
        <v>3</v>
      </c>
      <c r="C247" s="1" t="s">
        <v>663</v>
      </c>
      <c r="D247">
        <v>5</v>
      </c>
      <c r="E247">
        <v>1350</v>
      </c>
      <c r="F247" t="s">
        <v>248</v>
      </c>
      <c r="G247" s="11">
        <v>371796.02</v>
      </c>
      <c r="H247" s="11">
        <v>678672.36</v>
      </c>
      <c r="I247" s="11">
        <v>2302000</v>
      </c>
    </row>
    <row r="248" spans="1:9" x14ac:dyDescent="0.25">
      <c r="A248">
        <v>2026</v>
      </c>
      <c r="B248">
        <v>3</v>
      </c>
      <c r="C248" s="1" t="s">
        <v>664</v>
      </c>
      <c r="D248">
        <v>5</v>
      </c>
      <c r="E248">
        <v>1341</v>
      </c>
      <c r="F248" t="s">
        <v>249</v>
      </c>
      <c r="G248" s="11">
        <v>0</v>
      </c>
      <c r="H248" s="11">
        <v>70274.09</v>
      </c>
      <c r="I248" s="11">
        <v>844000</v>
      </c>
    </row>
    <row r="249" spans="1:9" x14ac:dyDescent="0.25">
      <c r="A249">
        <v>2026</v>
      </c>
      <c r="B249">
        <v>3</v>
      </c>
      <c r="C249" s="1" t="s">
        <v>665</v>
      </c>
      <c r="D249">
        <v>5</v>
      </c>
      <c r="E249">
        <v>2002</v>
      </c>
      <c r="F249" t="s">
        <v>250</v>
      </c>
      <c r="G249" s="11">
        <v>593286</v>
      </c>
      <c r="H249" s="11">
        <v>1779858</v>
      </c>
      <c r="I249" s="11">
        <v>7660000</v>
      </c>
    </row>
    <row r="250" spans="1:9" x14ac:dyDescent="0.25">
      <c r="A250">
        <v>2026</v>
      </c>
      <c r="B250">
        <v>3</v>
      </c>
      <c r="C250" s="1" t="s">
        <v>666</v>
      </c>
      <c r="F250" t="s">
        <v>251</v>
      </c>
      <c r="G250" s="11">
        <v>0</v>
      </c>
      <c r="H250" s="11">
        <v>1038132.03</v>
      </c>
      <c r="I250" s="11">
        <v>5716000</v>
      </c>
    </row>
    <row r="251" spans="1:9" x14ac:dyDescent="0.25">
      <c r="A251">
        <v>2026</v>
      </c>
      <c r="B251">
        <v>3</v>
      </c>
      <c r="C251" s="1" t="s">
        <v>667</v>
      </c>
      <c r="D251">
        <v>5</v>
      </c>
      <c r="E251">
        <v>1376</v>
      </c>
      <c r="F251" t="s">
        <v>252</v>
      </c>
      <c r="G251" s="11">
        <v>0</v>
      </c>
      <c r="H251" s="11">
        <v>1038132.03</v>
      </c>
      <c r="I251" s="11">
        <v>5716000</v>
      </c>
    </row>
    <row r="252" spans="1:9" x14ac:dyDescent="0.25">
      <c r="A252">
        <v>2026</v>
      </c>
      <c r="B252">
        <v>3</v>
      </c>
      <c r="C252" s="1" t="s">
        <v>668</v>
      </c>
      <c r="F252" t="s">
        <v>253</v>
      </c>
      <c r="G252" s="11">
        <v>388687.22</v>
      </c>
      <c r="H252" s="11">
        <v>781562.95</v>
      </c>
      <c r="I252" s="11">
        <v>6435000</v>
      </c>
    </row>
    <row r="253" spans="1:9" x14ac:dyDescent="0.25">
      <c r="A253">
        <v>2026</v>
      </c>
      <c r="B253">
        <v>3</v>
      </c>
      <c r="C253" s="1" t="s">
        <v>669</v>
      </c>
      <c r="D253">
        <v>5</v>
      </c>
      <c r="E253">
        <v>2010</v>
      </c>
      <c r="F253" t="s">
        <v>254</v>
      </c>
      <c r="G253" s="11">
        <v>388687.22</v>
      </c>
      <c r="H253" s="11">
        <v>781562.95</v>
      </c>
      <c r="I253" s="11">
        <v>6435000</v>
      </c>
    </row>
    <row r="254" spans="1:9" x14ac:dyDescent="0.25">
      <c r="A254">
        <v>2026</v>
      </c>
      <c r="B254">
        <v>3</v>
      </c>
      <c r="C254" s="1" t="s">
        <v>670</v>
      </c>
      <c r="F254" t="s">
        <v>255</v>
      </c>
      <c r="G254" s="11">
        <v>0</v>
      </c>
      <c r="H254" s="11">
        <v>10893603.35</v>
      </c>
      <c r="I254" s="11">
        <v>55067000</v>
      </c>
    </row>
    <row r="255" spans="1:9" x14ac:dyDescent="0.25">
      <c r="A255">
        <v>2026</v>
      </c>
      <c r="B255">
        <v>3</v>
      </c>
      <c r="C255" s="1" t="s">
        <v>671</v>
      </c>
      <c r="F255" t="s">
        <v>256</v>
      </c>
      <c r="G255" s="11">
        <v>0</v>
      </c>
      <c r="H255" s="11">
        <v>8951643</v>
      </c>
      <c r="I255" s="11">
        <v>40940000</v>
      </c>
    </row>
    <row r="256" spans="1:9" x14ac:dyDescent="0.25">
      <c r="A256">
        <v>2026</v>
      </c>
      <c r="B256">
        <v>3</v>
      </c>
      <c r="C256" s="1" t="s">
        <v>672</v>
      </c>
      <c r="D256">
        <v>5</v>
      </c>
      <c r="E256">
        <v>1260</v>
      </c>
      <c r="F256" t="s">
        <v>257</v>
      </c>
      <c r="G256" s="11">
        <v>0</v>
      </c>
      <c r="H256" s="11">
        <v>8951643</v>
      </c>
      <c r="I256" s="11">
        <v>40940000</v>
      </c>
    </row>
    <row r="257" spans="1:9" x14ac:dyDescent="0.25">
      <c r="A257">
        <v>2026</v>
      </c>
      <c r="B257">
        <v>3</v>
      </c>
      <c r="C257" s="1" t="s">
        <v>673</v>
      </c>
      <c r="F257" t="s">
        <v>258</v>
      </c>
      <c r="G257" s="11">
        <v>0</v>
      </c>
      <c r="H257" s="11">
        <v>1941960.35</v>
      </c>
      <c r="I257" s="11">
        <v>13530000</v>
      </c>
    </row>
    <row r="258" spans="1:9" x14ac:dyDescent="0.25">
      <c r="A258">
        <v>2026</v>
      </c>
      <c r="B258">
        <v>3</v>
      </c>
      <c r="C258" s="1" t="s">
        <v>674</v>
      </c>
      <c r="D258">
        <v>5</v>
      </c>
      <c r="E258">
        <v>2731</v>
      </c>
      <c r="F258" t="s">
        <v>259</v>
      </c>
      <c r="G258" s="11">
        <v>0</v>
      </c>
      <c r="H258" s="11">
        <v>365879</v>
      </c>
      <c r="I258" s="11">
        <v>3043000</v>
      </c>
    </row>
    <row r="259" spans="1:9" x14ac:dyDescent="0.25">
      <c r="A259">
        <v>2026</v>
      </c>
      <c r="B259">
        <v>3</v>
      </c>
      <c r="C259" s="1" t="s">
        <v>675</v>
      </c>
      <c r="D259">
        <v>5</v>
      </c>
      <c r="E259">
        <v>2732</v>
      </c>
      <c r="F259" t="s">
        <v>260</v>
      </c>
      <c r="G259" s="11">
        <v>0</v>
      </c>
      <c r="H259" s="11">
        <v>70843.5</v>
      </c>
      <c r="I259" s="11">
        <v>513000</v>
      </c>
    </row>
    <row r="260" spans="1:9" x14ac:dyDescent="0.25">
      <c r="A260">
        <v>2026</v>
      </c>
      <c r="B260">
        <v>3</v>
      </c>
      <c r="C260" s="1" t="s">
        <v>676</v>
      </c>
      <c r="D260">
        <v>5</v>
      </c>
      <c r="E260">
        <v>2733</v>
      </c>
      <c r="F260" t="s">
        <v>261</v>
      </c>
      <c r="G260" s="11">
        <v>0</v>
      </c>
      <c r="H260" s="11">
        <v>621327.5</v>
      </c>
      <c r="I260" s="11">
        <v>5126000</v>
      </c>
    </row>
    <row r="261" spans="1:9" x14ac:dyDescent="0.25">
      <c r="A261">
        <v>2026</v>
      </c>
      <c r="B261">
        <v>3</v>
      </c>
      <c r="C261" s="1" t="s">
        <v>677</v>
      </c>
      <c r="D261">
        <v>5</v>
      </c>
      <c r="E261">
        <v>2734</v>
      </c>
      <c r="F261" t="s">
        <v>262</v>
      </c>
      <c r="G261" s="11">
        <v>0</v>
      </c>
      <c r="H261" s="11">
        <v>856108.5</v>
      </c>
      <c r="I261" s="11">
        <v>4680000</v>
      </c>
    </row>
    <row r="262" spans="1:9" x14ac:dyDescent="0.25">
      <c r="A262">
        <v>2026</v>
      </c>
      <c r="B262">
        <v>3</v>
      </c>
      <c r="C262" s="1" t="s">
        <v>678</v>
      </c>
      <c r="D262">
        <v>5</v>
      </c>
      <c r="E262">
        <v>2735</v>
      </c>
      <c r="F262" t="s">
        <v>263</v>
      </c>
      <c r="G262" s="11">
        <v>0</v>
      </c>
      <c r="H262" s="11">
        <v>9811.1</v>
      </c>
      <c r="I262" s="11">
        <v>88000</v>
      </c>
    </row>
    <row r="263" spans="1:9" x14ac:dyDescent="0.25">
      <c r="A263">
        <v>2026</v>
      </c>
      <c r="B263">
        <v>3</v>
      </c>
      <c r="C263" s="1" t="s">
        <v>679</v>
      </c>
      <c r="D263">
        <v>5</v>
      </c>
      <c r="E263">
        <v>2736</v>
      </c>
      <c r="F263" t="s">
        <v>264</v>
      </c>
      <c r="G263" s="11">
        <v>0</v>
      </c>
      <c r="H263" s="11">
        <v>11239.75</v>
      </c>
      <c r="I263" s="11">
        <v>80000</v>
      </c>
    </row>
    <row r="264" spans="1:9" x14ac:dyDescent="0.25">
      <c r="A264">
        <v>2026</v>
      </c>
      <c r="B264">
        <v>3</v>
      </c>
      <c r="C264" s="1" t="s">
        <v>680</v>
      </c>
      <c r="D264">
        <v>5</v>
      </c>
      <c r="E264">
        <v>2737</v>
      </c>
      <c r="F264" t="s">
        <v>265</v>
      </c>
      <c r="G264" s="11">
        <v>0</v>
      </c>
      <c r="H264" s="11">
        <v>6751</v>
      </c>
      <c r="I264" s="11">
        <v>0</v>
      </c>
    </row>
    <row r="265" spans="1:9" x14ac:dyDescent="0.25">
      <c r="A265">
        <v>2026</v>
      </c>
      <c r="B265">
        <v>3</v>
      </c>
      <c r="C265" s="1" t="s">
        <v>681</v>
      </c>
      <c r="F265" t="s">
        <v>266</v>
      </c>
      <c r="G265" s="11">
        <v>0</v>
      </c>
      <c r="H265" s="11">
        <v>0</v>
      </c>
      <c r="I265" s="11">
        <v>597000</v>
      </c>
    </row>
    <row r="266" spans="1:9" x14ac:dyDescent="0.25">
      <c r="A266">
        <v>2026</v>
      </c>
      <c r="B266">
        <v>3</v>
      </c>
      <c r="C266" s="1" t="s">
        <v>682</v>
      </c>
      <c r="D266">
        <v>5</v>
      </c>
      <c r="E266">
        <v>2740</v>
      </c>
      <c r="F266" t="s">
        <v>267</v>
      </c>
      <c r="G266" s="11">
        <v>0</v>
      </c>
      <c r="H266" s="11">
        <v>0</v>
      </c>
      <c r="I266" s="11">
        <v>597000</v>
      </c>
    </row>
    <row r="267" spans="1:9" x14ac:dyDescent="0.25">
      <c r="A267">
        <v>2026</v>
      </c>
      <c r="B267">
        <v>3</v>
      </c>
      <c r="C267" s="1" t="s">
        <v>683</v>
      </c>
      <c r="F267" t="s">
        <v>268</v>
      </c>
      <c r="G267" s="11">
        <v>0</v>
      </c>
      <c r="H267" s="11">
        <v>583116.64</v>
      </c>
      <c r="I267" s="11">
        <v>0</v>
      </c>
    </row>
    <row r="268" spans="1:9" x14ac:dyDescent="0.25">
      <c r="A268">
        <v>2026</v>
      </c>
      <c r="B268">
        <v>3</v>
      </c>
      <c r="C268" s="1" t="s">
        <v>684</v>
      </c>
      <c r="F268" t="s">
        <v>269</v>
      </c>
      <c r="G268" s="11">
        <v>0</v>
      </c>
      <c r="H268" s="11">
        <v>583116.64</v>
      </c>
      <c r="I268" s="11">
        <v>0</v>
      </c>
    </row>
    <row r="269" spans="1:9" x14ac:dyDescent="0.25">
      <c r="A269">
        <v>2026</v>
      </c>
      <c r="B269">
        <v>3</v>
      </c>
      <c r="C269" s="1" t="s">
        <v>685</v>
      </c>
      <c r="F269" t="s">
        <v>270</v>
      </c>
      <c r="G269" s="11">
        <v>0</v>
      </c>
      <c r="H269" s="11">
        <v>583116.64</v>
      </c>
      <c r="I269" s="11">
        <v>0</v>
      </c>
    </row>
    <row r="270" spans="1:9" x14ac:dyDescent="0.25">
      <c r="A270">
        <v>2026</v>
      </c>
      <c r="B270">
        <v>3</v>
      </c>
      <c r="C270" s="1" t="s">
        <v>686</v>
      </c>
      <c r="D270">
        <v>5</v>
      </c>
      <c r="E270">
        <v>2027</v>
      </c>
      <c r="F270" t="s">
        <v>271</v>
      </c>
      <c r="G270" s="11">
        <v>0</v>
      </c>
      <c r="H270" s="11">
        <v>583116.64</v>
      </c>
      <c r="I270" s="11">
        <v>0</v>
      </c>
    </row>
    <row r="271" spans="1:9" x14ac:dyDescent="0.25">
      <c r="A271">
        <v>2026</v>
      </c>
      <c r="B271">
        <v>3</v>
      </c>
      <c r="C271" s="1" t="s">
        <v>687</v>
      </c>
      <c r="F271" t="s">
        <v>272</v>
      </c>
      <c r="G271" s="11">
        <v>366947.52</v>
      </c>
      <c r="H271" s="11">
        <v>757850.36</v>
      </c>
      <c r="I271" s="11">
        <v>4632000</v>
      </c>
    </row>
    <row r="272" spans="1:9" x14ac:dyDescent="0.25">
      <c r="A272">
        <v>2026</v>
      </c>
      <c r="B272">
        <v>3</v>
      </c>
      <c r="C272" s="1" t="s">
        <v>688</v>
      </c>
      <c r="F272" t="s">
        <v>273</v>
      </c>
      <c r="G272" s="11">
        <v>366947.52</v>
      </c>
      <c r="H272" s="11">
        <v>757850.36</v>
      </c>
      <c r="I272" s="11">
        <v>4632000</v>
      </c>
    </row>
    <row r="273" spans="1:9" x14ac:dyDescent="0.25">
      <c r="A273">
        <v>2026</v>
      </c>
      <c r="B273">
        <v>3</v>
      </c>
      <c r="C273" s="1" t="s">
        <v>689</v>
      </c>
      <c r="D273">
        <v>5</v>
      </c>
      <c r="E273">
        <v>2181</v>
      </c>
      <c r="F273" t="s">
        <v>274</v>
      </c>
      <c r="G273" s="11">
        <v>165028.87</v>
      </c>
      <c r="H273" s="11">
        <v>354007.45</v>
      </c>
      <c r="I273" s="11">
        <v>1884000</v>
      </c>
    </row>
    <row r="274" spans="1:9" x14ac:dyDescent="0.25">
      <c r="A274">
        <v>2026</v>
      </c>
      <c r="B274">
        <v>3</v>
      </c>
      <c r="C274" s="1" t="s">
        <v>690</v>
      </c>
      <c r="D274">
        <v>5</v>
      </c>
      <c r="E274">
        <v>2184</v>
      </c>
      <c r="F274" t="s">
        <v>275</v>
      </c>
      <c r="G274" s="11">
        <v>131639.92000000001</v>
      </c>
      <c r="H274" s="11">
        <v>263282.52</v>
      </c>
      <c r="I274" s="11">
        <v>1824000</v>
      </c>
    </row>
    <row r="275" spans="1:9" x14ac:dyDescent="0.25">
      <c r="A275">
        <v>2026</v>
      </c>
      <c r="B275">
        <v>3</v>
      </c>
      <c r="C275" s="1" t="s">
        <v>691</v>
      </c>
      <c r="D275">
        <v>5</v>
      </c>
      <c r="E275">
        <v>2183</v>
      </c>
      <c r="F275" t="s">
        <v>276</v>
      </c>
      <c r="G275" s="11">
        <v>70278.73</v>
      </c>
      <c r="H275" s="11">
        <v>140560.39000000001</v>
      </c>
      <c r="I275" s="11">
        <v>924000</v>
      </c>
    </row>
    <row r="276" spans="1:9" x14ac:dyDescent="0.25">
      <c r="A276">
        <v>2026</v>
      </c>
      <c r="B276">
        <v>3</v>
      </c>
      <c r="C276" s="1" t="s">
        <v>692</v>
      </c>
      <c r="F276" t="s">
        <v>277</v>
      </c>
      <c r="G276" s="11">
        <v>0</v>
      </c>
      <c r="H276" s="11">
        <v>0</v>
      </c>
      <c r="I276" s="11">
        <v>537000</v>
      </c>
    </row>
    <row r="277" spans="1:9" x14ac:dyDescent="0.25">
      <c r="A277">
        <v>2026</v>
      </c>
      <c r="B277">
        <v>3</v>
      </c>
      <c r="C277" s="1" t="s">
        <v>693</v>
      </c>
      <c r="F277" t="s">
        <v>278</v>
      </c>
      <c r="G277" s="11">
        <v>0</v>
      </c>
      <c r="H277" s="11">
        <v>0</v>
      </c>
      <c r="I277" s="11">
        <v>537000</v>
      </c>
    </row>
    <row r="278" spans="1:9" x14ac:dyDescent="0.25">
      <c r="A278">
        <v>2026</v>
      </c>
      <c r="B278">
        <v>3</v>
      </c>
      <c r="C278" s="1" t="s">
        <v>694</v>
      </c>
      <c r="D278">
        <v>5</v>
      </c>
      <c r="E278">
        <v>2057</v>
      </c>
      <c r="F278" t="s">
        <v>279</v>
      </c>
      <c r="G278" s="11">
        <v>0</v>
      </c>
      <c r="H278" s="11">
        <v>0</v>
      </c>
      <c r="I278" s="11">
        <v>537000</v>
      </c>
    </row>
    <row r="279" spans="1:9" x14ac:dyDescent="0.25">
      <c r="A279">
        <v>2026</v>
      </c>
      <c r="B279">
        <v>3</v>
      </c>
      <c r="C279" s="1" t="s">
        <v>695</v>
      </c>
      <c r="F279" t="s">
        <v>278</v>
      </c>
      <c r="G279" s="11">
        <v>0</v>
      </c>
      <c r="H279" s="11">
        <v>604034.12</v>
      </c>
      <c r="I279" s="11">
        <v>3999000</v>
      </c>
    </row>
    <row r="280" spans="1:9" x14ac:dyDescent="0.25">
      <c r="A280">
        <v>2026</v>
      </c>
      <c r="B280">
        <v>3</v>
      </c>
      <c r="C280" s="1" t="s">
        <v>696</v>
      </c>
      <c r="F280" t="s">
        <v>280</v>
      </c>
      <c r="G280" s="11">
        <v>0</v>
      </c>
      <c r="H280" s="11">
        <v>604034.12</v>
      </c>
      <c r="I280" s="11">
        <v>3999000</v>
      </c>
    </row>
    <row r="281" spans="1:9" x14ac:dyDescent="0.25">
      <c r="A281">
        <v>2026</v>
      </c>
      <c r="B281">
        <v>3</v>
      </c>
      <c r="C281" s="1" t="s">
        <v>697</v>
      </c>
      <c r="D281">
        <v>5</v>
      </c>
      <c r="E281">
        <v>1948</v>
      </c>
      <c r="F281" t="s">
        <v>281</v>
      </c>
      <c r="G281" s="11">
        <v>0</v>
      </c>
      <c r="H281" s="11">
        <v>604034.12</v>
      </c>
      <c r="I281" s="11">
        <v>3999000</v>
      </c>
    </row>
    <row r="282" spans="1:9" x14ac:dyDescent="0.25">
      <c r="A282">
        <v>2026</v>
      </c>
      <c r="B282">
        <v>3</v>
      </c>
      <c r="C282" s="1" t="s">
        <v>698</v>
      </c>
      <c r="F282" t="s">
        <v>282</v>
      </c>
      <c r="G282" s="11">
        <v>60841950.159999996</v>
      </c>
      <c r="H282" s="11">
        <v>394477000.66000003</v>
      </c>
      <c r="I282" s="11">
        <v>1836890000</v>
      </c>
    </row>
    <row r="283" spans="1:9" x14ac:dyDescent="0.25">
      <c r="A283">
        <v>2026</v>
      </c>
      <c r="B283">
        <v>3</v>
      </c>
      <c r="C283" s="1" t="s">
        <v>699</v>
      </c>
      <c r="F283" t="s">
        <v>283</v>
      </c>
      <c r="G283" s="11">
        <v>60841950.159999996</v>
      </c>
      <c r="H283" s="11">
        <v>384218841.97000003</v>
      </c>
      <c r="I283" s="11">
        <v>1745180000</v>
      </c>
    </row>
    <row r="284" spans="1:9" x14ac:dyDescent="0.25">
      <c r="A284">
        <v>2026</v>
      </c>
      <c r="B284">
        <v>3</v>
      </c>
      <c r="C284" s="1" t="s">
        <v>700</v>
      </c>
      <c r="F284" t="s">
        <v>284</v>
      </c>
      <c r="G284" s="11">
        <v>55813660.18</v>
      </c>
      <c r="H284" s="11">
        <v>239197657.91999999</v>
      </c>
      <c r="I284" s="11">
        <v>1471666000</v>
      </c>
    </row>
    <row r="285" spans="1:9" x14ac:dyDescent="0.25">
      <c r="A285">
        <v>2026</v>
      </c>
      <c r="B285">
        <v>3</v>
      </c>
      <c r="C285" s="1" t="s">
        <v>701</v>
      </c>
      <c r="D285">
        <v>1</v>
      </c>
      <c r="E285">
        <v>1236</v>
      </c>
      <c r="F285" t="s">
        <v>285</v>
      </c>
      <c r="G285" s="11">
        <v>55813660.18</v>
      </c>
      <c r="H285" s="11">
        <v>239197657.91999999</v>
      </c>
      <c r="I285" s="11">
        <v>1471666000</v>
      </c>
    </row>
    <row r="286" spans="1:9" x14ac:dyDescent="0.25">
      <c r="A286">
        <v>2026</v>
      </c>
      <c r="B286">
        <v>3</v>
      </c>
      <c r="C286" s="1" t="s">
        <v>702</v>
      </c>
      <c r="F286" t="s">
        <v>286</v>
      </c>
      <c r="G286" s="11">
        <v>4913987.12</v>
      </c>
      <c r="H286" s="11">
        <v>143017042.25</v>
      </c>
      <c r="I286" s="11">
        <v>262434000</v>
      </c>
    </row>
    <row r="287" spans="1:9" x14ac:dyDescent="0.25">
      <c r="A287">
        <v>2026</v>
      </c>
      <c r="B287">
        <v>3</v>
      </c>
      <c r="C287" s="1" t="s">
        <v>703</v>
      </c>
      <c r="D287">
        <v>1</v>
      </c>
      <c r="E287">
        <v>1287</v>
      </c>
      <c r="F287" t="s">
        <v>287</v>
      </c>
      <c r="G287" s="11">
        <v>4913987.12</v>
      </c>
      <c r="H287" s="11">
        <v>143017042.25</v>
      </c>
      <c r="I287" s="11">
        <v>262434000</v>
      </c>
    </row>
    <row r="288" spans="1:9" x14ac:dyDescent="0.25">
      <c r="A288">
        <v>2026</v>
      </c>
      <c r="B288">
        <v>3</v>
      </c>
      <c r="C288" s="1" t="s">
        <v>704</v>
      </c>
      <c r="F288" t="s">
        <v>288</v>
      </c>
      <c r="G288" s="11">
        <v>114302.86</v>
      </c>
      <c r="H288" s="11">
        <v>1889654.32</v>
      </c>
      <c r="I288" s="11">
        <v>10567000</v>
      </c>
    </row>
    <row r="289" spans="1:9" x14ac:dyDescent="0.25">
      <c r="A289">
        <v>2026</v>
      </c>
      <c r="B289">
        <v>3</v>
      </c>
      <c r="C289" s="1" t="s">
        <v>705</v>
      </c>
      <c r="D289">
        <v>1</v>
      </c>
      <c r="E289">
        <v>1252</v>
      </c>
      <c r="F289" t="s">
        <v>289</v>
      </c>
      <c r="G289" s="11">
        <v>114302.86</v>
      </c>
      <c r="H289" s="11">
        <v>1889654.32</v>
      </c>
      <c r="I289" s="11">
        <v>10567000</v>
      </c>
    </row>
    <row r="290" spans="1:9" x14ac:dyDescent="0.25">
      <c r="A290">
        <v>2026</v>
      </c>
      <c r="B290">
        <v>3</v>
      </c>
      <c r="C290" s="1" t="s">
        <v>706</v>
      </c>
      <c r="F290" t="s">
        <v>290</v>
      </c>
      <c r="G290" s="11">
        <v>0</v>
      </c>
      <c r="H290" s="11">
        <v>114487.48</v>
      </c>
      <c r="I290" s="11">
        <v>513000</v>
      </c>
    </row>
    <row r="291" spans="1:9" x14ac:dyDescent="0.25">
      <c r="A291">
        <v>2026</v>
      </c>
      <c r="B291">
        <v>3</v>
      </c>
      <c r="C291" s="1" t="s">
        <v>707</v>
      </c>
      <c r="D291">
        <v>1</v>
      </c>
      <c r="E291">
        <v>1840</v>
      </c>
      <c r="F291" t="s">
        <v>291</v>
      </c>
      <c r="G291" s="11">
        <v>0</v>
      </c>
      <c r="H291" s="11">
        <v>114487.48</v>
      </c>
      <c r="I291" s="11">
        <v>513000</v>
      </c>
    </row>
    <row r="292" spans="1:9" x14ac:dyDescent="0.25">
      <c r="A292">
        <v>2026</v>
      </c>
      <c r="B292">
        <v>3</v>
      </c>
      <c r="C292" s="1" t="s">
        <v>708</v>
      </c>
      <c r="F292" t="s">
        <v>292</v>
      </c>
      <c r="G292" s="11">
        <v>0</v>
      </c>
      <c r="H292" s="11">
        <v>10258158.689999999</v>
      </c>
      <c r="I292" s="11">
        <v>89820000</v>
      </c>
    </row>
    <row r="293" spans="1:9" x14ac:dyDescent="0.25">
      <c r="A293">
        <v>2026</v>
      </c>
      <c r="B293">
        <v>3</v>
      </c>
      <c r="C293" s="1" t="s">
        <v>709</v>
      </c>
      <c r="F293" t="s">
        <v>293</v>
      </c>
      <c r="G293" s="11">
        <v>0</v>
      </c>
      <c r="H293" s="11">
        <v>8053502.2699999996</v>
      </c>
      <c r="I293" s="11">
        <v>66339000</v>
      </c>
    </row>
    <row r="294" spans="1:9" x14ac:dyDescent="0.25">
      <c r="A294">
        <v>2026</v>
      </c>
      <c r="B294">
        <v>3</v>
      </c>
      <c r="C294" s="1" t="s">
        <v>710</v>
      </c>
      <c r="D294">
        <v>2</v>
      </c>
      <c r="E294">
        <v>1414</v>
      </c>
      <c r="F294" t="s">
        <v>294</v>
      </c>
      <c r="G294" s="11">
        <v>0</v>
      </c>
      <c r="H294" s="11">
        <v>0</v>
      </c>
      <c r="I294" s="11">
        <v>4000000</v>
      </c>
    </row>
    <row r="295" spans="1:9" x14ac:dyDescent="0.25">
      <c r="A295">
        <v>2026</v>
      </c>
      <c r="B295">
        <v>3</v>
      </c>
      <c r="C295" s="1" t="s">
        <v>711</v>
      </c>
      <c r="D295">
        <v>2</v>
      </c>
      <c r="E295">
        <v>2035</v>
      </c>
      <c r="F295" t="s">
        <v>295</v>
      </c>
      <c r="G295" s="11">
        <v>0</v>
      </c>
      <c r="H295" s="11">
        <v>8053502.2699999996</v>
      </c>
      <c r="I295" s="11">
        <v>55000000</v>
      </c>
    </row>
    <row r="296" spans="1:9" x14ac:dyDescent="0.25">
      <c r="A296">
        <v>2026</v>
      </c>
      <c r="B296">
        <v>3</v>
      </c>
      <c r="C296" s="1" t="s">
        <v>712</v>
      </c>
      <c r="D296">
        <v>2</v>
      </c>
      <c r="E296">
        <v>2036</v>
      </c>
      <c r="F296" t="s">
        <v>296</v>
      </c>
      <c r="G296" s="11">
        <v>0</v>
      </c>
      <c r="H296" s="11">
        <v>0</v>
      </c>
      <c r="I296" s="11">
        <v>1475000</v>
      </c>
    </row>
    <row r="297" spans="1:9" x14ac:dyDescent="0.25">
      <c r="A297">
        <v>2026</v>
      </c>
      <c r="B297">
        <v>3</v>
      </c>
      <c r="C297" s="1" t="s">
        <v>713</v>
      </c>
      <c r="D297">
        <v>2</v>
      </c>
      <c r="E297">
        <v>1415</v>
      </c>
      <c r="F297" t="s">
        <v>297</v>
      </c>
      <c r="G297" s="11">
        <v>0</v>
      </c>
      <c r="H297" s="11">
        <v>0</v>
      </c>
      <c r="I297" s="11">
        <v>5864000</v>
      </c>
    </row>
    <row r="298" spans="1:9" x14ac:dyDescent="0.25">
      <c r="A298">
        <v>2026</v>
      </c>
      <c r="B298">
        <v>3</v>
      </c>
      <c r="C298" s="1" t="s">
        <v>714</v>
      </c>
      <c r="F298" t="s">
        <v>298</v>
      </c>
      <c r="G298" s="11">
        <v>0</v>
      </c>
      <c r="H298" s="11">
        <v>2204656.42</v>
      </c>
      <c r="I298" s="11">
        <v>22818000</v>
      </c>
    </row>
    <row r="299" spans="1:9" x14ac:dyDescent="0.25">
      <c r="A299">
        <v>2026</v>
      </c>
      <c r="B299">
        <v>3</v>
      </c>
      <c r="C299" s="1" t="s">
        <v>715</v>
      </c>
      <c r="D299">
        <v>2</v>
      </c>
      <c r="E299">
        <v>2907</v>
      </c>
      <c r="F299" t="s">
        <v>299</v>
      </c>
      <c r="G299" s="11">
        <v>0</v>
      </c>
      <c r="H299" s="11">
        <v>2204656.42</v>
      </c>
      <c r="I299" s="11">
        <v>22818000</v>
      </c>
    </row>
    <row r="300" spans="1:9" x14ac:dyDescent="0.25">
      <c r="A300">
        <v>2026</v>
      </c>
      <c r="B300">
        <v>3</v>
      </c>
      <c r="C300" s="1" t="s">
        <v>716</v>
      </c>
      <c r="F300" t="s">
        <v>300</v>
      </c>
      <c r="G300" s="11">
        <v>0</v>
      </c>
      <c r="H300" s="11">
        <v>0</v>
      </c>
      <c r="I300" s="11">
        <v>663000</v>
      </c>
    </row>
    <row r="301" spans="1:9" x14ac:dyDescent="0.25">
      <c r="A301">
        <v>2026</v>
      </c>
      <c r="B301">
        <v>3</v>
      </c>
      <c r="C301" s="1" t="s">
        <v>717</v>
      </c>
      <c r="D301">
        <v>2</v>
      </c>
      <c r="E301">
        <v>2247</v>
      </c>
      <c r="F301" t="s">
        <v>301</v>
      </c>
      <c r="G301" s="11">
        <v>0</v>
      </c>
      <c r="H301" s="11">
        <v>0</v>
      </c>
      <c r="I301" s="11">
        <v>663000</v>
      </c>
    </row>
    <row r="302" spans="1:9" x14ac:dyDescent="0.25">
      <c r="A302">
        <v>2026</v>
      </c>
      <c r="B302">
        <v>3</v>
      </c>
      <c r="C302" s="1" t="s">
        <v>718</v>
      </c>
      <c r="F302" t="s">
        <v>302</v>
      </c>
      <c r="G302" s="11">
        <v>0</v>
      </c>
      <c r="H302" s="11">
        <v>0</v>
      </c>
      <c r="I302" s="11">
        <v>1890000</v>
      </c>
    </row>
    <row r="303" spans="1:9" x14ac:dyDescent="0.25">
      <c r="A303">
        <v>2026</v>
      </c>
      <c r="B303">
        <v>3</v>
      </c>
      <c r="C303" s="1" t="s">
        <v>719</v>
      </c>
      <c r="F303" t="s">
        <v>303</v>
      </c>
      <c r="G303" s="11">
        <v>0</v>
      </c>
      <c r="H303" s="11">
        <v>0</v>
      </c>
      <c r="I303" s="11">
        <v>1890000</v>
      </c>
    </row>
    <row r="304" spans="1:9" x14ac:dyDescent="0.25">
      <c r="A304">
        <v>2026</v>
      </c>
      <c r="B304">
        <v>3</v>
      </c>
      <c r="C304" s="1" t="s">
        <v>720</v>
      </c>
      <c r="D304">
        <v>2</v>
      </c>
      <c r="E304">
        <v>2311</v>
      </c>
      <c r="F304" t="s">
        <v>304</v>
      </c>
      <c r="G304" s="11">
        <v>0</v>
      </c>
      <c r="H304" s="11">
        <v>0</v>
      </c>
      <c r="I304" s="11">
        <v>768000</v>
      </c>
    </row>
    <row r="305" spans="1:9" x14ac:dyDescent="0.25">
      <c r="A305">
        <v>2026</v>
      </c>
      <c r="B305">
        <v>3</v>
      </c>
      <c r="C305" s="1" t="s">
        <v>721</v>
      </c>
      <c r="D305">
        <v>2</v>
      </c>
      <c r="E305">
        <v>2317</v>
      </c>
      <c r="F305" t="s">
        <v>305</v>
      </c>
      <c r="G305" s="11">
        <v>0</v>
      </c>
      <c r="H305" s="11">
        <v>0</v>
      </c>
      <c r="I305" s="11">
        <v>113000</v>
      </c>
    </row>
    <row r="306" spans="1:9" x14ac:dyDescent="0.25">
      <c r="A306">
        <v>2026</v>
      </c>
      <c r="B306">
        <v>3</v>
      </c>
      <c r="C306" s="1" t="s">
        <v>722</v>
      </c>
      <c r="D306">
        <v>2</v>
      </c>
      <c r="E306">
        <v>2037</v>
      </c>
      <c r="F306" t="s">
        <v>306</v>
      </c>
      <c r="G306" s="11">
        <v>0</v>
      </c>
      <c r="H306" s="11">
        <v>0</v>
      </c>
      <c r="I306" s="11">
        <v>1009000</v>
      </c>
    </row>
    <row r="307" spans="1:9" x14ac:dyDescent="0.25">
      <c r="A307">
        <v>2026</v>
      </c>
      <c r="B307">
        <v>3</v>
      </c>
      <c r="C307" s="1" t="s">
        <v>723</v>
      </c>
      <c r="F307" t="s">
        <v>307</v>
      </c>
      <c r="G307" s="11">
        <v>0</v>
      </c>
      <c r="H307" s="11">
        <v>291078</v>
      </c>
      <c r="I307" s="11">
        <v>0</v>
      </c>
    </row>
    <row r="308" spans="1:9" x14ac:dyDescent="0.25">
      <c r="A308">
        <v>2026</v>
      </c>
      <c r="B308">
        <v>3</v>
      </c>
      <c r="C308" s="1" t="s">
        <v>724</v>
      </c>
      <c r="F308" t="s">
        <v>308</v>
      </c>
      <c r="G308" s="11">
        <v>0</v>
      </c>
      <c r="H308" s="11">
        <v>291078</v>
      </c>
      <c r="I308" s="11">
        <v>0</v>
      </c>
    </row>
    <row r="309" spans="1:9" x14ac:dyDescent="0.25">
      <c r="A309">
        <v>2026</v>
      </c>
      <c r="B309">
        <v>3</v>
      </c>
      <c r="C309" s="1" t="s">
        <v>725</v>
      </c>
      <c r="D309">
        <v>6</v>
      </c>
      <c r="E309">
        <v>2138</v>
      </c>
      <c r="F309" t="s">
        <v>309</v>
      </c>
      <c r="G309" s="11">
        <v>0</v>
      </c>
      <c r="H309" s="11">
        <v>291078</v>
      </c>
      <c r="I309" s="11">
        <v>0</v>
      </c>
    </row>
    <row r="310" spans="1:9" x14ac:dyDescent="0.25">
      <c r="A310">
        <v>2026</v>
      </c>
      <c r="B310">
        <v>3</v>
      </c>
      <c r="C310" s="1" t="s">
        <v>726</v>
      </c>
      <c r="F310" t="s">
        <v>310</v>
      </c>
      <c r="G310" s="11">
        <v>21602894.77</v>
      </c>
      <c r="H310" s="11">
        <v>125438663.93000001</v>
      </c>
      <c r="I310" s="11">
        <v>662417000</v>
      </c>
    </row>
    <row r="311" spans="1:9" x14ac:dyDescent="0.25">
      <c r="A311">
        <v>2026</v>
      </c>
      <c r="B311">
        <v>3</v>
      </c>
      <c r="C311" s="1" t="s">
        <v>727</v>
      </c>
      <c r="F311" t="s">
        <v>311</v>
      </c>
      <c r="G311" s="11">
        <v>21602894.77</v>
      </c>
      <c r="H311" s="11">
        <v>125438663.93000001</v>
      </c>
      <c r="I311" s="11">
        <v>662417000</v>
      </c>
    </row>
    <row r="312" spans="1:9" x14ac:dyDescent="0.25">
      <c r="A312">
        <v>2026</v>
      </c>
      <c r="B312">
        <v>3</v>
      </c>
      <c r="C312" s="1" t="s">
        <v>728</v>
      </c>
      <c r="F312" t="s">
        <v>312</v>
      </c>
      <c r="G312" s="11">
        <v>21602894.77</v>
      </c>
      <c r="H312" s="11">
        <v>125438663.93000001</v>
      </c>
      <c r="I312" s="11">
        <v>662417000</v>
      </c>
    </row>
    <row r="313" spans="1:9" x14ac:dyDescent="0.25">
      <c r="A313">
        <v>2026</v>
      </c>
      <c r="B313">
        <v>3</v>
      </c>
      <c r="C313" s="1" t="s">
        <v>729</v>
      </c>
      <c r="D313">
        <v>2</v>
      </c>
      <c r="E313">
        <v>1321</v>
      </c>
      <c r="F313" t="s">
        <v>313</v>
      </c>
      <c r="G313" s="11">
        <v>0</v>
      </c>
      <c r="H313" s="11">
        <v>11698932.550000001</v>
      </c>
      <c r="I313" s="11">
        <v>59713000</v>
      </c>
    </row>
    <row r="314" spans="1:9" x14ac:dyDescent="0.25">
      <c r="A314">
        <v>2026</v>
      </c>
      <c r="B314">
        <v>3</v>
      </c>
      <c r="C314" s="1" t="s">
        <v>730</v>
      </c>
      <c r="D314">
        <v>2</v>
      </c>
      <c r="E314">
        <v>1322</v>
      </c>
      <c r="F314" t="s">
        <v>314</v>
      </c>
      <c r="G314" s="11">
        <v>0</v>
      </c>
      <c r="H314" s="11">
        <v>50172.78</v>
      </c>
      <c r="I314" s="11">
        <v>1120000</v>
      </c>
    </row>
    <row r="315" spans="1:9" x14ac:dyDescent="0.25">
      <c r="A315">
        <v>2026</v>
      </c>
      <c r="B315">
        <v>3</v>
      </c>
      <c r="C315" s="1" t="s">
        <v>731</v>
      </c>
      <c r="D315">
        <v>2</v>
      </c>
      <c r="E315">
        <v>1324</v>
      </c>
      <c r="F315" t="s">
        <v>315</v>
      </c>
      <c r="G315" s="11">
        <v>18860349.809999999</v>
      </c>
      <c r="H315" s="11">
        <v>78024162.329999998</v>
      </c>
      <c r="I315" s="11">
        <v>507651000</v>
      </c>
    </row>
    <row r="316" spans="1:9" x14ac:dyDescent="0.25">
      <c r="A316">
        <v>2026</v>
      </c>
      <c r="B316">
        <v>3</v>
      </c>
      <c r="C316" s="1" t="s">
        <v>732</v>
      </c>
      <c r="D316">
        <v>2</v>
      </c>
      <c r="E316">
        <v>1325</v>
      </c>
      <c r="F316" t="s">
        <v>316</v>
      </c>
      <c r="G316" s="11">
        <v>0</v>
      </c>
      <c r="H316" s="11">
        <v>558243</v>
      </c>
      <c r="I316" s="11">
        <v>4048000</v>
      </c>
    </row>
    <row r="317" spans="1:9" x14ac:dyDescent="0.25">
      <c r="A317">
        <v>2026</v>
      </c>
      <c r="B317">
        <v>3</v>
      </c>
      <c r="C317" s="1" t="s">
        <v>733</v>
      </c>
      <c r="D317">
        <v>2</v>
      </c>
      <c r="E317">
        <v>1326</v>
      </c>
      <c r="F317" t="s">
        <v>317</v>
      </c>
      <c r="G317" s="11">
        <v>2494535.75</v>
      </c>
      <c r="H317" s="11">
        <v>32296434.57</v>
      </c>
      <c r="I317" s="11">
        <v>68878000</v>
      </c>
    </row>
    <row r="318" spans="1:9" x14ac:dyDescent="0.25">
      <c r="A318">
        <v>2026</v>
      </c>
      <c r="B318">
        <v>3</v>
      </c>
      <c r="C318" s="1" t="s">
        <v>734</v>
      </c>
      <c r="D318">
        <v>2</v>
      </c>
      <c r="E318">
        <v>1327</v>
      </c>
      <c r="F318" t="s">
        <v>318</v>
      </c>
      <c r="G318" s="11">
        <v>248009.21</v>
      </c>
      <c r="H318" s="11">
        <v>1826820.12</v>
      </c>
      <c r="I318" s="11">
        <v>16325000</v>
      </c>
    </row>
    <row r="319" spans="1:9" x14ac:dyDescent="0.25">
      <c r="A319">
        <v>2026</v>
      </c>
      <c r="B319">
        <v>3</v>
      </c>
      <c r="C319" s="1" t="s">
        <v>735</v>
      </c>
      <c r="D319">
        <v>2</v>
      </c>
      <c r="E319">
        <v>1328</v>
      </c>
      <c r="F319" t="s">
        <v>319</v>
      </c>
      <c r="G319" s="11">
        <v>0</v>
      </c>
      <c r="H319" s="11">
        <v>983898.58</v>
      </c>
      <c r="I319" s="11">
        <v>4682000</v>
      </c>
    </row>
    <row r="320" spans="1:9" x14ac:dyDescent="0.25">
      <c r="A320">
        <v>2026</v>
      </c>
      <c r="B320">
        <v>3</v>
      </c>
      <c r="C320" s="1" t="s">
        <v>736</v>
      </c>
      <c r="F320" t="s">
        <v>320</v>
      </c>
      <c r="G320" s="11">
        <v>2882706.89</v>
      </c>
      <c r="H320" s="11">
        <v>42296272.100000001</v>
      </c>
      <c r="I320" s="11">
        <v>117982000</v>
      </c>
    </row>
    <row r="321" spans="1:9" x14ac:dyDescent="0.25">
      <c r="A321">
        <v>2026</v>
      </c>
      <c r="B321">
        <v>3</v>
      </c>
      <c r="C321" s="1" t="s">
        <v>737</v>
      </c>
      <c r="F321" t="s">
        <v>321</v>
      </c>
      <c r="G321" s="11">
        <v>485700.41</v>
      </c>
      <c r="H321" s="11">
        <v>14000878.02</v>
      </c>
      <c r="I321" s="11">
        <v>46399000</v>
      </c>
    </row>
    <row r="322" spans="1:9" x14ac:dyDescent="0.25">
      <c r="A322">
        <v>2026</v>
      </c>
      <c r="B322">
        <v>3</v>
      </c>
      <c r="C322" s="1" t="s">
        <v>738</v>
      </c>
      <c r="F322" t="s">
        <v>321</v>
      </c>
      <c r="G322" s="11">
        <v>485700.41</v>
      </c>
      <c r="H322" s="11">
        <v>14000878.02</v>
      </c>
      <c r="I322" s="11">
        <v>46399000</v>
      </c>
    </row>
    <row r="323" spans="1:9" x14ac:dyDescent="0.25">
      <c r="A323">
        <v>2026</v>
      </c>
      <c r="B323">
        <v>3</v>
      </c>
      <c r="C323" s="1" t="s">
        <v>739</v>
      </c>
      <c r="F323" t="s">
        <v>322</v>
      </c>
      <c r="G323" s="11">
        <v>92114.41</v>
      </c>
      <c r="H323" s="11">
        <v>597386</v>
      </c>
      <c r="I323" s="11">
        <v>3691000</v>
      </c>
    </row>
    <row r="324" spans="1:9" x14ac:dyDescent="0.25">
      <c r="A324">
        <v>2026</v>
      </c>
      <c r="B324">
        <v>3</v>
      </c>
      <c r="C324" s="1" t="s">
        <v>740</v>
      </c>
      <c r="F324" t="s">
        <v>323</v>
      </c>
      <c r="G324" s="11">
        <v>91705.279999999999</v>
      </c>
      <c r="H324" s="11">
        <v>593623.76</v>
      </c>
      <c r="I324" s="11">
        <v>3557000</v>
      </c>
    </row>
    <row r="325" spans="1:9" x14ac:dyDescent="0.25">
      <c r="A325">
        <v>2026</v>
      </c>
      <c r="B325">
        <v>3</v>
      </c>
      <c r="C325" s="1" t="s">
        <v>741</v>
      </c>
      <c r="D325">
        <v>1</v>
      </c>
      <c r="E325">
        <v>2011</v>
      </c>
      <c r="F325" t="s">
        <v>324</v>
      </c>
      <c r="G325" s="11">
        <v>61472.83</v>
      </c>
      <c r="H325" s="11">
        <v>155768.54</v>
      </c>
      <c r="I325" s="11">
        <v>397000</v>
      </c>
    </row>
    <row r="326" spans="1:9" x14ac:dyDescent="0.25">
      <c r="A326">
        <v>2026</v>
      </c>
      <c r="B326">
        <v>3</v>
      </c>
      <c r="C326" s="1" t="s">
        <v>742</v>
      </c>
      <c r="D326">
        <v>3</v>
      </c>
      <c r="E326">
        <v>2070</v>
      </c>
      <c r="F326" t="s">
        <v>325</v>
      </c>
      <c r="G326" s="11">
        <v>3649.05</v>
      </c>
      <c r="H326" s="11">
        <v>62943.58</v>
      </c>
      <c r="I326" s="11">
        <v>300000</v>
      </c>
    </row>
    <row r="327" spans="1:9" x14ac:dyDescent="0.25">
      <c r="A327">
        <v>2026</v>
      </c>
      <c r="B327">
        <v>3</v>
      </c>
      <c r="C327" s="1" t="s">
        <v>743</v>
      </c>
      <c r="D327">
        <v>3</v>
      </c>
      <c r="E327">
        <v>2072</v>
      </c>
      <c r="F327" t="s">
        <v>326</v>
      </c>
      <c r="G327" s="11">
        <v>5464.41</v>
      </c>
      <c r="H327" s="11">
        <v>42748.29</v>
      </c>
      <c r="I327" s="11">
        <v>200000</v>
      </c>
    </row>
    <row r="328" spans="1:9" x14ac:dyDescent="0.25">
      <c r="A328">
        <v>2026</v>
      </c>
      <c r="B328">
        <v>3</v>
      </c>
      <c r="C328" s="1" t="s">
        <v>744</v>
      </c>
      <c r="D328">
        <v>3</v>
      </c>
      <c r="E328">
        <v>1950</v>
      </c>
      <c r="F328" t="s">
        <v>327</v>
      </c>
      <c r="G328" s="11">
        <v>21018.99</v>
      </c>
      <c r="H328" s="11">
        <v>332063.34999999998</v>
      </c>
      <c r="I328" s="11">
        <v>2660000</v>
      </c>
    </row>
    <row r="329" spans="1:9" x14ac:dyDescent="0.25">
      <c r="A329">
        <v>2026</v>
      </c>
      <c r="B329">
        <v>3</v>
      </c>
      <c r="C329" s="1" t="s">
        <v>745</v>
      </c>
      <c r="D329">
        <v>3</v>
      </c>
      <c r="E329">
        <v>2077</v>
      </c>
      <c r="F329" t="s">
        <v>328</v>
      </c>
      <c r="G329" s="11">
        <v>100</v>
      </c>
      <c r="H329" s="11">
        <v>100</v>
      </c>
      <c r="I329" s="11">
        <v>0</v>
      </c>
    </row>
    <row r="330" spans="1:9" x14ac:dyDescent="0.25">
      <c r="A330">
        <v>2026</v>
      </c>
      <c r="B330">
        <v>3</v>
      </c>
      <c r="C330" s="1" t="s">
        <v>746</v>
      </c>
      <c r="F330" t="s">
        <v>329</v>
      </c>
      <c r="G330" s="11">
        <v>120.09</v>
      </c>
      <c r="H330" s="11">
        <v>129.33000000000001</v>
      </c>
      <c r="I330" s="11">
        <v>1000</v>
      </c>
    </row>
    <row r="331" spans="1:9" x14ac:dyDescent="0.25">
      <c r="A331">
        <v>2026</v>
      </c>
      <c r="B331">
        <v>3</v>
      </c>
      <c r="C331" s="1" t="s">
        <v>747</v>
      </c>
      <c r="D331">
        <v>3</v>
      </c>
      <c r="E331">
        <v>2075</v>
      </c>
      <c r="F331" t="s">
        <v>330</v>
      </c>
      <c r="G331" s="11">
        <v>120.09</v>
      </c>
      <c r="H331" s="11">
        <v>129.33000000000001</v>
      </c>
      <c r="I331" s="11">
        <v>1000</v>
      </c>
    </row>
    <row r="332" spans="1:9" x14ac:dyDescent="0.25">
      <c r="A332">
        <v>2026</v>
      </c>
      <c r="B332">
        <v>3</v>
      </c>
      <c r="C332" s="1" t="s">
        <v>748</v>
      </c>
      <c r="F332" t="s">
        <v>331</v>
      </c>
      <c r="G332" s="11">
        <v>132.09</v>
      </c>
      <c r="H332" s="11">
        <v>1906.88</v>
      </c>
      <c r="I332" s="11">
        <v>67000</v>
      </c>
    </row>
    <row r="333" spans="1:9" x14ac:dyDescent="0.25">
      <c r="A333">
        <v>2026</v>
      </c>
      <c r="B333">
        <v>3</v>
      </c>
      <c r="C333" s="1" t="s">
        <v>749</v>
      </c>
      <c r="D333">
        <v>1</v>
      </c>
      <c r="E333">
        <v>2062</v>
      </c>
      <c r="F333" t="s">
        <v>332</v>
      </c>
      <c r="G333" s="11">
        <v>0</v>
      </c>
      <c r="H333" s="11">
        <v>0</v>
      </c>
      <c r="I333" s="11">
        <v>1000</v>
      </c>
    </row>
    <row r="334" spans="1:9" x14ac:dyDescent="0.25">
      <c r="A334">
        <v>2026</v>
      </c>
      <c r="B334">
        <v>3</v>
      </c>
      <c r="C334" s="1" t="s">
        <v>750</v>
      </c>
      <c r="D334">
        <v>3</v>
      </c>
      <c r="E334">
        <v>2074</v>
      </c>
      <c r="F334" t="s">
        <v>333</v>
      </c>
      <c r="G334" s="11">
        <v>132.09</v>
      </c>
      <c r="H334" s="11">
        <v>1906.88</v>
      </c>
      <c r="I334" s="11">
        <v>66000</v>
      </c>
    </row>
    <row r="335" spans="1:9" x14ac:dyDescent="0.25">
      <c r="A335">
        <v>2026</v>
      </c>
      <c r="B335">
        <v>3</v>
      </c>
      <c r="C335" s="1" t="s">
        <v>751</v>
      </c>
      <c r="F335" t="s">
        <v>334</v>
      </c>
      <c r="G335" s="11">
        <v>156.94999999999999</v>
      </c>
      <c r="H335" s="11">
        <v>1726.03</v>
      </c>
      <c r="I335" s="11">
        <v>66000</v>
      </c>
    </row>
    <row r="336" spans="1:9" x14ac:dyDescent="0.25">
      <c r="A336">
        <v>2026</v>
      </c>
      <c r="B336">
        <v>3</v>
      </c>
      <c r="C336" s="1" t="s">
        <v>752</v>
      </c>
      <c r="D336">
        <v>3</v>
      </c>
      <c r="E336">
        <v>2073</v>
      </c>
      <c r="F336" t="s">
        <v>335</v>
      </c>
      <c r="G336" s="11">
        <v>156.94999999999999</v>
      </c>
      <c r="H336" s="11">
        <v>1726.03</v>
      </c>
      <c r="I336" s="11">
        <v>66000</v>
      </c>
    </row>
    <row r="337" spans="1:9" x14ac:dyDescent="0.25">
      <c r="A337">
        <v>2026</v>
      </c>
      <c r="B337">
        <v>3</v>
      </c>
      <c r="C337" s="1" t="s">
        <v>753</v>
      </c>
      <c r="F337" t="s">
        <v>336</v>
      </c>
      <c r="G337" s="11">
        <v>14593.83</v>
      </c>
      <c r="H337" s="11">
        <v>37591.67</v>
      </c>
      <c r="I337" s="11">
        <v>462000</v>
      </c>
    </row>
    <row r="338" spans="1:9" x14ac:dyDescent="0.25">
      <c r="A338">
        <v>2026</v>
      </c>
      <c r="B338">
        <v>3</v>
      </c>
      <c r="C338" s="1" t="s">
        <v>754</v>
      </c>
      <c r="D338">
        <v>1</v>
      </c>
      <c r="E338">
        <v>2006</v>
      </c>
      <c r="F338" t="s">
        <v>337</v>
      </c>
      <c r="G338" s="11">
        <v>9554.4</v>
      </c>
      <c r="H338" s="11">
        <v>20657.099999999999</v>
      </c>
      <c r="I338" s="11">
        <v>444000</v>
      </c>
    </row>
    <row r="339" spans="1:9" x14ac:dyDescent="0.25">
      <c r="A339">
        <v>2026</v>
      </c>
      <c r="B339">
        <v>3</v>
      </c>
      <c r="C339" s="1" t="s">
        <v>755</v>
      </c>
      <c r="D339">
        <v>1</v>
      </c>
      <c r="E339">
        <v>2008</v>
      </c>
      <c r="F339" t="s">
        <v>338</v>
      </c>
      <c r="G339" s="11">
        <v>5039.43</v>
      </c>
      <c r="H339" s="11">
        <v>16934.57</v>
      </c>
      <c r="I339" s="11">
        <v>18000</v>
      </c>
    </row>
    <row r="340" spans="1:9" x14ac:dyDescent="0.25">
      <c r="A340">
        <v>2026</v>
      </c>
      <c r="B340">
        <v>3</v>
      </c>
      <c r="C340" s="1" t="s">
        <v>756</v>
      </c>
      <c r="F340" t="s">
        <v>339</v>
      </c>
      <c r="G340" s="11">
        <v>378992.17</v>
      </c>
      <c r="H340" s="11">
        <v>13365900.35</v>
      </c>
      <c r="I340" s="11">
        <v>42246000</v>
      </c>
    </row>
    <row r="341" spans="1:9" x14ac:dyDescent="0.25">
      <c r="A341">
        <v>2026</v>
      </c>
      <c r="B341">
        <v>3</v>
      </c>
      <c r="C341" s="1" t="s">
        <v>757</v>
      </c>
      <c r="D341">
        <v>3</v>
      </c>
      <c r="E341">
        <v>2127</v>
      </c>
      <c r="F341" t="s">
        <v>340</v>
      </c>
      <c r="G341" s="11">
        <v>378992.17</v>
      </c>
      <c r="H341" s="11">
        <v>13365703.07</v>
      </c>
      <c r="I341" s="11">
        <v>40208000</v>
      </c>
    </row>
    <row r="342" spans="1:9" x14ac:dyDescent="0.25">
      <c r="A342">
        <v>2026</v>
      </c>
      <c r="B342">
        <v>3</v>
      </c>
      <c r="C342" s="1" t="s">
        <v>758</v>
      </c>
      <c r="D342">
        <v>3</v>
      </c>
      <c r="E342">
        <v>2128</v>
      </c>
      <c r="F342" t="s">
        <v>341</v>
      </c>
      <c r="G342" s="11">
        <v>0</v>
      </c>
      <c r="H342" s="11">
        <v>0</v>
      </c>
      <c r="I342" s="11">
        <v>2035000</v>
      </c>
    </row>
    <row r="343" spans="1:9" x14ac:dyDescent="0.25">
      <c r="A343">
        <v>2026</v>
      </c>
      <c r="B343">
        <v>3</v>
      </c>
      <c r="C343" s="1" t="s">
        <v>759</v>
      </c>
      <c r="D343">
        <v>3</v>
      </c>
      <c r="E343">
        <v>2760</v>
      </c>
      <c r="F343" t="s">
        <v>342</v>
      </c>
      <c r="G343" s="11">
        <v>0</v>
      </c>
      <c r="H343" s="11">
        <v>197.28</v>
      </c>
      <c r="I343" s="11">
        <v>2000</v>
      </c>
    </row>
    <row r="344" spans="1:9" x14ac:dyDescent="0.25">
      <c r="A344">
        <v>2026</v>
      </c>
      <c r="B344">
        <v>3</v>
      </c>
      <c r="C344" s="1" t="s">
        <v>760</v>
      </c>
      <c r="D344">
        <v>3</v>
      </c>
      <c r="E344">
        <v>2770</v>
      </c>
      <c r="F344" t="s">
        <v>343</v>
      </c>
      <c r="G344" s="11">
        <v>0</v>
      </c>
      <c r="H344" s="11">
        <v>0</v>
      </c>
      <c r="I344" s="11">
        <v>1000</v>
      </c>
    </row>
    <row r="345" spans="1:9" x14ac:dyDescent="0.25">
      <c r="A345">
        <v>2026</v>
      </c>
      <c r="B345">
        <v>3</v>
      </c>
      <c r="C345" s="1" t="s">
        <v>761</v>
      </c>
      <c r="F345" t="s">
        <v>344</v>
      </c>
      <c r="G345" s="11">
        <v>186307.04</v>
      </c>
      <c r="H345" s="11">
        <v>2542051.17</v>
      </c>
      <c r="I345" s="11">
        <v>332000</v>
      </c>
    </row>
    <row r="346" spans="1:9" x14ac:dyDescent="0.25">
      <c r="A346">
        <v>2026</v>
      </c>
      <c r="B346">
        <v>3</v>
      </c>
      <c r="C346" s="1" t="s">
        <v>762</v>
      </c>
      <c r="F346" t="s">
        <v>345</v>
      </c>
      <c r="G346" s="11">
        <v>0</v>
      </c>
      <c r="H346" s="11">
        <v>1820318.02</v>
      </c>
      <c r="I346" s="11">
        <v>332000</v>
      </c>
    </row>
    <row r="347" spans="1:9" x14ac:dyDescent="0.25">
      <c r="A347">
        <v>2026</v>
      </c>
      <c r="B347">
        <v>3</v>
      </c>
      <c r="C347" s="1" t="s">
        <v>763</v>
      </c>
      <c r="F347" t="s">
        <v>346</v>
      </c>
      <c r="G347" s="11">
        <v>0</v>
      </c>
      <c r="H347" s="11">
        <v>1820318.02</v>
      </c>
      <c r="I347" s="11">
        <v>332000</v>
      </c>
    </row>
    <row r="348" spans="1:9" x14ac:dyDescent="0.25">
      <c r="A348">
        <v>2026</v>
      </c>
      <c r="B348">
        <v>3</v>
      </c>
      <c r="C348" s="1" t="s">
        <v>764</v>
      </c>
      <c r="D348">
        <v>1</v>
      </c>
      <c r="E348">
        <v>2171</v>
      </c>
      <c r="F348" t="s">
        <v>347</v>
      </c>
      <c r="G348" s="11">
        <v>0</v>
      </c>
      <c r="H348" s="11">
        <v>1820318.02</v>
      </c>
      <c r="I348" s="11">
        <v>332000</v>
      </c>
    </row>
    <row r="349" spans="1:9" x14ac:dyDescent="0.25">
      <c r="A349">
        <v>2026</v>
      </c>
      <c r="B349">
        <v>3</v>
      </c>
      <c r="C349" s="1" t="s">
        <v>765</v>
      </c>
      <c r="F349" t="s">
        <v>348</v>
      </c>
      <c r="G349" s="11">
        <v>186307.04</v>
      </c>
      <c r="H349" s="11">
        <v>721733.15</v>
      </c>
      <c r="I349" s="11">
        <v>0</v>
      </c>
    </row>
    <row r="350" spans="1:9" x14ac:dyDescent="0.25">
      <c r="A350">
        <v>2026</v>
      </c>
      <c r="B350">
        <v>3</v>
      </c>
      <c r="C350" s="1" t="s">
        <v>766</v>
      </c>
      <c r="F350" t="s">
        <v>349</v>
      </c>
      <c r="G350" s="11">
        <v>186307.04</v>
      </c>
      <c r="H350" s="11">
        <v>721733.15</v>
      </c>
      <c r="I350" s="11">
        <v>0</v>
      </c>
    </row>
    <row r="351" spans="1:9" x14ac:dyDescent="0.25">
      <c r="A351">
        <v>2026</v>
      </c>
      <c r="B351">
        <v>3</v>
      </c>
      <c r="C351" s="1" t="s">
        <v>767</v>
      </c>
      <c r="F351" t="s">
        <v>350</v>
      </c>
      <c r="G351" s="11">
        <v>186307.04</v>
      </c>
      <c r="H351" s="11">
        <v>721733.15</v>
      </c>
      <c r="I351" s="11">
        <v>0</v>
      </c>
    </row>
    <row r="352" spans="1:9" x14ac:dyDescent="0.25">
      <c r="A352">
        <v>2026</v>
      </c>
      <c r="B352">
        <v>3</v>
      </c>
      <c r="C352" s="1" t="s">
        <v>768</v>
      </c>
      <c r="D352">
        <v>1</v>
      </c>
      <c r="E352">
        <v>2170</v>
      </c>
      <c r="F352" t="s">
        <v>351</v>
      </c>
      <c r="G352" s="11">
        <v>186307.04</v>
      </c>
      <c r="H352" s="11">
        <v>721733.15</v>
      </c>
      <c r="I352" s="11">
        <v>0</v>
      </c>
    </row>
    <row r="353" spans="1:9" x14ac:dyDescent="0.25">
      <c r="A353">
        <v>2026</v>
      </c>
      <c r="B353">
        <v>3</v>
      </c>
      <c r="C353" s="1" t="s">
        <v>769</v>
      </c>
      <c r="F353" t="s">
        <v>352</v>
      </c>
      <c r="G353" s="11">
        <v>2210699.44</v>
      </c>
      <c r="H353" s="11">
        <v>25753342.91</v>
      </c>
      <c r="I353" s="11">
        <v>71251000</v>
      </c>
    </row>
    <row r="354" spans="1:9" x14ac:dyDescent="0.25">
      <c r="A354">
        <v>2026</v>
      </c>
      <c r="B354">
        <v>3</v>
      </c>
      <c r="C354" s="1" t="s">
        <v>770</v>
      </c>
      <c r="F354" t="s">
        <v>320</v>
      </c>
      <c r="G354" s="11">
        <v>2210699.44</v>
      </c>
      <c r="H354" s="11">
        <v>25753342.91</v>
      </c>
      <c r="I354" s="11">
        <v>71251000</v>
      </c>
    </row>
    <row r="355" spans="1:9" x14ac:dyDescent="0.25">
      <c r="A355">
        <v>2026</v>
      </c>
      <c r="B355">
        <v>3</v>
      </c>
      <c r="C355" s="1" t="s">
        <v>771</v>
      </c>
      <c r="F355" t="s">
        <v>353</v>
      </c>
      <c r="G355" s="11">
        <v>2210699.44</v>
      </c>
      <c r="H355" s="11">
        <v>25753342.91</v>
      </c>
      <c r="I355" s="11">
        <v>71251000</v>
      </c>
    </row>
    <row r="356" spans="1:9" x14ac:dyDescent="0.25">
      <c r="A356">
        <v>2026</v>
      </c>
      <c r="B356">
        <v>3</v>
      </c>
      <c r="C356" s="1" t="s">
        <v>772</v>
      </c>
      <c r="F356" t="s">
        <v>354</v>
      </c>
      <c r="G356" s="11">
        <v>2210699.44</v>
      </c>
      <c r="H356" s="11">
        <v>25753342.91</v>
      </c>
      <c r="I356" s="11">
        <v>71251000</v>
      </c>
    </row>
    <row r="357" spans="1:9" x14ac:dyDescent="0.25">
      <c r="A357">
        <v>2026</v>
      </c>
      <c r="B357">
        <v>3</v>
      </c>
      <c r="C357" s="1" t="s">
        <v>773</v>
      </c>
      <c r="D357">
        <v>3</v>
      </c>
      <c r="E357">
        <v>2194</v>
      </c>
      <c r="F357" t="s">
        <v>355</v>
      </c>
      <c r="G357" s="11">
        <v>0</v>
      </c>
      <c r="H357" s="11">
        <v>0</v>
      </c>
      <c r="I357" s="11">
        <v>2000</v>
      </c>
    </row>
    <row r="358" spans="1:9" x14ac:dyDescent="0.25">
      <c r="A358">
        <v>2026</v>
      </c>
      <c r="B358">
        <v>3</v>
      </c>
      <c r="C358" s="1" t="s">
        <v>774</v>
      </c>
      <c r="D358">
        <v>3</v>
      </c>
      <c r="E358">
        <v>2135</v>
      </c>
      <c r="F358" t="s">
        <v>356</v>
      </c>
      <c r="G358" s="11">
        <v>36607.65</v>
      </c>
      <c r="H358" s="11">
        <v>4031557.67</v>
      </c>
      <c r="I358" s="11">
        <v>16556000</v>
      </c>
    </row>
    <row r="359" spans="1:9" x14ac:dyDescent="0.25">
      <c r="A359">
        <v>2026</v>
      </c>
      <c r="B359">
        <v>3</v>
      </c>
      <c r="C359" s="1" t="s">
        <v>775</v>
      </c>
      <c r="D359">
        <v>3</v>
      </c>
      <c r="E359">
        <v>1580</v>
      </c>
      <c r="F359" t="s">
        <v>357</v>
      </c>
      <c r="G359" s="11">
        <v>0</v>
      </c>
      <c r="H359" s="11">
        <v>0</v>
      </c>
      <c r="I359" s="11">
        <v>1000</v>
      </c>
    </row>
    <row r="360" spans="1:9" x14ac:dyDescent="0.25">
      <c r="A360">
        <v>2026</v>
      </c>
      <c r="B360">
        <v>3</v>
      </c>
      <c r="C360" s="1" t="s">
        <v>776</v>
      </c>
      <c r="D360">
        <v>1</v>
      </c>
      <c r="E360">
        <v>2089</v>
      </c>
      <c r="F360" t="s">
        <v>358</v>
      </c>
      <c r="G360" s="11">
        <v>11441.98</v>
      </c>
      <c r="H360" s="11">
        <v>98652.82</v>
      </c>
      <c r="I360" s="11">
        <v>2260000</v>
      </c>
    </row>
    <row r="361" spans="1:9" x14ac:dyDescent="0.25">
      <c r="A361">
        <v>2026</v>
      </c>
      <c r="B361">
        <v>3</v>
      </c>
      <c r="C361" s="1" t="s">
        <v>777</v>
      </c>
      <c r="D361">
        <v>6</v>
      </c>
      <c r="E361">
        <v>2097</v>
      </c>
      <c r="F361" t="s">
        <v>359</v>
      </c>
      <c r="G361" s="11">
        <v>0</v>
      </c>
      <c r="H361" s="11">
        <v>1000</v>
      </c>
      <c r="I361" s="11">
        <v>0</v>
      </c>
    </row>
    <row r="362" spans="1:9" x14ac:dyDescent="0.25">
      <c r="A362">
        <v>2026</v>
      </c>
      <c r="B362">
        <v>3</v>
      </c>
      <c r="C362" s="1" t="s">
        <v>778</v>
      </c>
      <c r="D362">
        <v>3</v>
      </c>
      <c r="E362">
        <v>2160</v>
      </c>
      <c r="F362" t="s">
        <v>360</v>
      </c>
      <c r="G362" s="11">
        <v>311825.44</v>
      </c>
      <c r="H362" s="11">
        <v>1013173.91</v>
      </c>
      <c r="I362" s="11">
        <v>4128000</v>
      </c>
    </row>
    <row r="363" spans="1:9" x14ac:dyDescent="0.25">
      <c r="A363">
        <v>2026</v>
      </c>
      <c r="B363">
        <v>3</v>
      </c>
      <c r="C363" s="1" t="s">
        <v>779</v>
      </c>
      <c r="D363">
        <v>3</v>
      </c>
      <c r="E363">
        <v>2970</v>
      </c>
      <c r="F363" t="s">
        <v>361</v>
      </c>
      <c r="G363" s="11">
        <v>0</v>
      </c>
      <c r="H363" s="11">
        <v>3360.21</v>
      </c>
      <c r="I363" s="11">
        <v>1000</v>
      </c>
    </row>
    <row r="364" spans="1:9" x14ac:dyDescent="0.25">
      <c r="A364">
        <v>2026</v>
      </c>
      <c r="B364">
        <v>3</v>
      </c>
      <c r="C364" s="1" t="s">
        <v>780</v>
      </c>
      <c r="D364">
        <v>3</v>
      </c>
      <c r="E364">
        <v>1520</v>
      </c>
      <c r="F364" t="s">
        <v>362</v>
      </c>
      <c r="G364" s="11">
        <v>0</v>
      </c>
      <c r="H364" s="11">
        <v>0</v>
      </c>
      <c r="I364" s="11">
        <v>1000</v>
      </c>
    </row>
    <row r="365" spans="1:9" x14ac:dyDescent="0.25">
      <c r="A365">
        <v>2026</v>
      </c>
      <c r="B365">
        <v>3</v>
      </c>
      <c r="C365" s="1" t="s">
        <v>781</v>
      </c>
      <c r="D365">
        <v>3</v>
      </c>
      <c r="E365">
        <v>2208</v>
      </c>
      <c r="F365" t="s">
        <v>363</v>
      </c>
      <c r="G365" s="11">
        <v>0</v>
      </c>
      <c r="H365" s="11">
        <v>7126973.2800000003</v>
      </c>
      <c r="I365" s="11">
        <v>0</v>
      </c>
    </row>
    <row r="366" spans="1:9" x14ac:dyDescent="0.25">
      <c r="A366">
        <v>2026</v>
      </c>
      <c r="B366">
        <v>3</v>
      </c>
      <c r="C366" s="1" t="s">
        <v>782</v>
      </c>
      <c r="D366">
        <v>3</v>
      </c>
      <c r="E366">
        <v>2348</v>
      </c>
      <c r="F366" t="s">
        <v>364</v>
      </c>
      <c r="G366" s="11">
        <v>45897.33</v>
      </c>
      <c r="H366" s="11">
        <v>138906.9</v>
      </c>
      <c r="I366" s="11">
        <v>590000</v>
      </c>
    </row>
    <row r="367" spans="1:9" x14ac:dyDescent="0.25">
      <c r="A367">
        <v>2026</v>
      </c>
      <c r="B367">
        <v>3</v>
      </c>
      <c r="C367" s="1" t="s">
        <v>783</v>
      </c>
      <c r="D367">
        <v>3</v>
      </c>
      <c r="E367">
        <v>2350</v>
      </c>
      <c r="F367" t="s">
        <v>365</v>
      </c>
      <c r="G367" s="11">
        <v>0</v>
      </c>
      <c r="H367" s="11">
        <v>0</v>
      </c>
      <c r="I367" s="11">
        <v>1000</v>
      </c>
    </row>
    <row r="368" spans="1:9" x14ac:dyDescent="0.25">
      <c r="A368">
        <v>2026</v>
      </c>
      <c r="B368">
        <v>3</v>
      </c>
      <c r="C368" s="1" t="s">
        <v>784</v>
      </c>
      <c r="D368">
        <v>3</v>
      </c>
      <c r="E368">
        <v>2987</v>
      </c>
      <c r="F368" t="s">
        <v>366</v>
      </c>
      <c r="G368" s="11">
        <v>0</v>
      </c>
      <c r="H368" s="11">
        <v>300</v>
      </c>
      <c r="I368" s="11">
        <v>1255000</v>
      </c>
    </row>
    <row r="369" spans="1:9" x14ac:dyDescent="0.25">
      <c r="A369">
        <v>2026</v>
      </c>
      <c r="B369">
        <v>3</v>
      </c>
      <c r="C369" s="1" t="s">
        <v>785</v>
      </c>
      <c r="D369">
        <v>3</v>
      </c>
      <c r="E369">
        <v>2988</v>
      </c>
      <c r="F369" t="s">
        <v>367</v>
      </c>
      <c r="G369" s="11">
        <v>0</v>
      </c>
      <c r="H369" s="11">
        <v>0</v>
      </c>
      <c r="I369" s="11">
        <v>6793000</v>
      </c>
    </row>
    <row r="370" spans="1:9" x14ac:dyDescent="0.25">
      <c r="A370">
        <v>2026</v>
      </c>
      <c r="B370">
        <v>3</v>
      </c>
      <c r="C370" s="1" t="s">
        <v>786</v>
      </c>
      <c r="D370">
        <v>3</v>
      </c>
      <c r="E370">
        <v>2989</v>
      </c>
      <c r="F370" t="s">
        <v>368</v>
      </c>
      <c r="G370" s="11">
        <v>54083.6</v>
      </c>
      <c r="H370" s="11">
        <v>1491700.47</v>
      </c>
      <c r="I370" s="11">
        <v>2696000</v>
      </c>
    </row>
    <row r="371" spans="1:9" x14ac:dyDescent="0.25">
      <c r="A371">
        <v>2026</v>
      </c>
      <c r="B371">
        <v>3</v>
      </c>
      <c r="C371" s="1" t="s">
        <v>787</v>
      </c>
      <c r="D371">
        <v>1</v>
      </c>
      <c r="E371">
        <v>2969</v>
      </c>
      <c r="F371" t="s">
        <v>369</v>
      </c>
      <c r="G371" s="11">
        <v>43198.27</v>
      </c>
      <c r="H371" s="11">
        <v>480251.3</v>
      </c>
      <c r="I371" s="11">
        <v>5274000</v>
      </c>
    </row>
    <row r="372" spans="1:9" x14ac:dyDescent="0.25">
      <c r="A372">
        <v>2026</v>
      </c>
      <c r="B372">
        <v>3</v>
      </c>
      <c r="C372" s="1" t="s">
        <v>788</v>
      </c>
      <c r="D372">
        <v>3</v>
      </c>
      <c r="E372">
        <v>2967</v>
      </c>
      <c r="F372" t="s">
        <v>370</v>
      </c>
      <c r="G372" s="11">
        <v>3034</v>
      </c>
      <c r="H372" s="11">
        <v>12471.09</v>
      </c>
      <c r="I372" s="11">
        <v>25000</v>
      </c>
    </row>
    <row r="373" spans="1:9" x14ac:dyDescent="0.25">
      <c r="A373">
        <v>2026</v>
      </c>
      <c r="B373">
        <v>3</v>
      </c>
      <c r="C373" s="1" t="s">
        <v>789</v>
      </c>
      <c r="D373">
        <v>3</v>
      </c>
      <c r="E373">
        <v>2891</v>
      </c>
      <c r="F373" t="s">
        <v>371</v>
      </c>
      <c r="G373" s="11">
        <v>0</v>
      </c>
      <c r="H373" s="11">
        <v>17613.23</v>
      </c>
      <c r="I373" s="11">
        <v>354000</v>
      </c>
    </row>
    <row r="374" spans="1:9" x14ac:dyDescent="0.25">
      <c r="A374">
        <v>2026</v>
      </c>
      <c r="B374">
        <v>3</v>
      </c>
      <c r="C374" s="1" t="s">
        <v>790</v>
      </c>
      <c r="D374">
        <v>6</v>
      </c>
      <c r="E374">
        <v>2605</v>
      </c>
      <c r="F374" t="s">
        <v>372</v>
      </c>
      <c r="G374" s="11">
        <v>918.51</v>
      </c>
      <c r="H374" s="11">
        <v>14803.58</v>
      </c>
      <c r="I374" s="11">
        <v>40000</v>
      </c>
    </row>
    <row r="375" spans="1:9" x14ac:dyDescent="0.25">
      <c r="A375">
        <v>2026</v>
      </c>
      <c r="B375">
        <v>3</v>
      </c>
      <c r="C375" s="1" t="s">
        <v>791</v>
      </c>
      <c r="D375">
        <v>3</v>
      </c>
      <c r="E375">
        <v>2892</v>
      </c>
      <c r="F375" t="s">
        <v>373</v>
      </c>
      <c r="G375" s="11">
        <v>723294.96</v>
      </c>
      <c r="H375" s="11">
        <v>1613223.86</v>
      </c>
      <c r="I375" s="11">
        <v>4952000</v>
      </c>
    </row>
    <row r="376" spans="1:9" x14ac:dyDescent="0.25">
      <c r="A376">
        <v>2026</v>
      </c>
      <c r="B376">
        <v>3</v>
      </c>
      <c r="C376" s="1" t="s">
        <v>792</v>
      </c>
      <c r="D376">
        <v>6</v>
      </c>
      <c r="E376">
        <v>2720</v>
      </c>
      <c r="F376" t="s">
        <v>374</v>
      </c>
      <c r="G376" s="11">
        <v>0</v>
      </c>
      <c r="H376" s="11">
        <v>81480</v>
      </c>
      <c r="I376" s="11">
        <v>288000</v>
      </c>
    </row>
    <row r="377" spans="1:9" x14ac:dyDescent="0.25">
      <c r="A377">
        <v>2026</v>
      </c>
      <c r="B377">
        <v>3</v>
      </c>
      <c r="C377" s="1" t="s">
        <v>793</v>
      </c>
      <c r="D377">
        <v>3</v>
      </c>
      <c r="E377">
        <v>2893</v>
      </c>
      <c r="F377" t="s">
        <v>375</v>
      </c>
      <c r="G377" s="11">
        <v>3799.47</v>
      </c>
      <c r="H377" s="11">
        <v>846538.31</v>
      </c>
      <c r="I377" s="11">
        <v>2834000</v>
      </c>
    </row>
    <row r="378" spans="1:9" x14ac:dyDescent="0.25">
      <c r="A378">
        <v>2026</v>
      </c>
      <c r="B378">
        <v>3</v>
      </c>
      <c r="C378" s="1" t="s">
        <v>794</v>
      </c>
      <c r="D378">
        <v>3</v>
      </c>
      <c r="E378">
        <v>2163</v>
      </c>
      <c r="F378" t="s">
        <v>376</v>
      </c>
      <c r="G378" s="11">
        <v>14605.92</v>
      </c>
      <c r="H378" s="11">
        <v>23857.11</v>
      </c>
      <c r="I378" s="11">
        <v>70000</v>
      </c>
    </row>
    <row r="379" spans="1:9" x14ac:dyDescent="0.25">
      <c r="A379">
        <v>2026</v>
      </c>
      <c r="B379">
        <v>3</v>
      </c>
      <c r="C379" s="1" t="s">
        <v>795</v>
      </c>
      <c r="D379">
        <v>1</v>
      </c>
      <c r="E379">
        <v>2461</v>
      </c>
      <c r="F379" t="s">
        <v>377</v>
      </c>
      <c r="G379" s="11">
        <v>197640.86</v>
      </c>
      <c r="H379" s="11">
        <v>1504298.56</v>
      </c>
      <c r="I379" s="11">
        <v>4333000</v>
      </c>
    </row>
    <row r="380" spans="1:9" x14ac:dyDescent="0.25">
      <c r="A380">
        <v>2026</v>
      </c>
      <c r="B380">
        <v>3</v>
      </c>
      <c r="C380" s="1" t="s">
        <v>796</v>
      </c>
      <c r="D380">
        <v>1</v>
      </c>
      <c r="E380">
        <v>1690</v>
      </c>
      <c r="F380" t="s">
        <v>378</v>
      </c>
      <c r="G380" s="11">
        <v>764351.45</v>
      </c>
      <c r="H380" s="11">
        <v>7253180.6100000003</v>
      </c>
      <c r="I380" s="11">
        <v>18797000</v>
      </c>
    </row>
    <row r="381" spans="1:9" x14ac:dyDescent="0.25">
      <c r="A381">
        <v>2026</v>
      </c>
      <c r="B381">
        <v>3</v>
      </c>
      <c r="C381" s="1" t="s">
        <v>797</v>
      </c>
      <c r="F381" t="s">
        <v>379</v>
      </c>
      <c r="G381" s="11">
        <v>0</v>
      </c>
      <c r="H381" s="11">
        <v>722364.1</v>
      </c>
      <c r="I381" s="11">
        <v>156718000</v>
      </c>
    </row>
    <row r="382" spans="1:9" x14ac:dyDescent="0.25">
      <c r="A382">
        <v>2026</v>
      </c>
      <c r="B382">
        <v>3</v>
      </c>
      <c r="C382" s="1" t="s">
        <v>798</v>
      </c>
      <c r="F382" t="s">
        <v>380</v>
      </c>
      <c r="G382" s="11">
        <v>0</v>
      </c>
      <c r="H382" s="11">
        <v>0</v>
      </c>
      <c r="I382" s="11">
        <v>90900000</v>
      </c>
    </row>
    <row r="383" spans="1:9" x14ac:dyDescent="0.25">
      <c r="A383">
        <v>2026</v>
      </c>
      <c r="B383">
        <v>3</v>
      </c>
      <c r="C383" s="1" t="s">
        <v>799</v>
      </c>
      <c r="F383" t="s">
        <v>381</v>
      </c>
      <c r="G383" s="11">
        <v>0</v>
      </c>
      <c r="H383" s="11">
        <v>0</v>
      </c>
      <c r="I383" s="11">
        <v>90900000</v>
      </c>
    </row>
    <row r="384" spans="1:9" x14ac:dyDescent="0.25">
      <c r="A384">
        <v>2026</v>
      </c>
      <c r="B384">
        <v>3</v>
      </c>
      <c r="C384" s="1" t="s">
        <v>800</v>
      </c>
      <c r="F384" t="s">
        <v>382</v>
      </c>
      <c r="G384" s="11">
        <v>0</v>
      </c>
      <c r="H384" s="11">
        <v>0</v>
      </c>
      <c r="I384" s="11">
        <v>90900000</v>
      </c>
    </row>
    <row r="385" spans="1:9" x14ac:dyDescent="0.25">
      <c r="A385">
        <v>2026</v>
      </c>
      <c r="B385">
        <v>3</v>
      </c>
      <c r="C385" s="1" t="s">
        <v>801</v>
      </c>
      <c r="F385" t="s">
        <v>382</v>
      </c>
      <c r="G385" s="11">
        <v>0</v>
      </c>
      <c r="H385" s="11">
        <v>0</v>
      </c>
      <c r="I385" s="11">
        <v>90900000</v>
      </c>
    </row>
    <row r="386" spans="1:9" x14ac:dyDescent="0.25">
      <c r="A386">
        <v>2026</v>
      </c>
      <c r="B386">
        <v>3</v>
      </c>
      <c r="C386" s="1" t="s">
        <v>802</v>
      </c>
      <c r="D386">
        <v>7</v>
      </c>
      <c r="E386">
        <v>2232</v>
      </c>
      <c r="F386" t="s">
        <v>383</v>
      </c>
      <c r="G386" s="11">
        <v>0</v>
      </c>
      <c r="H386" s="11">
        <v>0</v>
      </c>
      <c r="I386" s="11">
        <v>60000000</v>
      </c>
    </row>
    <row r="387" spans="1:9" x14ac:dyDescent="0.25">
      <c r="A387">
        <v>2026</v>
      </c>
      <c r="B387">
        <v>3</v>
      </c>
      <c r="C387" s="1" t="s">
        <v>803</v>
      </c>
      <c r="D387">
        <v>7</v>
      </c>
      <c r="E387">
        <v>2233</v>
      </c>
      <c r="F387" t="s">
        <v>384</v>
      </c>
      <c r="G387" s="11">
        <v>0</v>
      </c>
      <c r="H387" s="11">
        <v>0</v>
      </c>
      <c r="I387" s="11">
        <v>30900000</v>
      </c>
    </row>
    <row r="388" spans="1:9" x14ac:dyDescent="0.25">
      <c r="A388">
        <v>2026</v>
      </c>
      <c r="B388">
        <v>3</v>
      </c>
      <c r="C388" s="1" t="s">
        <v>804</v>
      </c>
      <c r="F388" t="s">
        <v>385</v>
      </c>
      <c r="G388" s="11">
        <v>0</v>
      </c>
      <c r="H388" s="11">
        <v>0</v>
      </c>
      <c r="I388" s="11">
        <v>466000</v>
      </c>
    </row>
    <row r="389" spans="1:9" x14ac:dyDescent="0.25">
      <c r="A389">
        <v>2026</v>
      </c>
      <c r="B389">
        <v>3</v>
      </c>
      <c r="C389" s="1" t="s">
        <v>805</v>
      </c>
      <c r="F389" t="s">
        <v>386</v>
      </c>
      <c r="G389" s="11">
        <v>0</v>
      </c>
      <c r="H389" s="11">
        <v>0</v>
      </c>
      <c r="I389" s="11">
        <v>466000</v>
      </c>
    </row>
    <row r="390" spans="1:9" x14ac:dyDescent="0.25">
      <c r="A390">
        <v>2026</v>
      </c>
      <c r="B390">
        <v>3</v>
      </c>
      <c r="C390" s="1" t="s">
        <v>806</v>
      </c>
      <c r="F390" t="s">
        <v>387</v>
      </c>
      <c r="G390" s="11">
        <v>0</v>
      </c>
      <c r="H390" s="11">
        <v>0</v>
      </c>
      <c r="I390" s="11">
        <v>466000</v>
      </c>
    </row>
    <row r="391" spans="1:9" x14ac:dyDescent="0.25">
      <c r="A391">
        <v>2026</v>
      </c>
      <c r="B391">
        <v>3</v>
      </c>
      <c r="C391" s="1" t="s">
        <v>807</v>
      </c>
      <c r="F391" t="s">
        <v>388</v>
      </c>
      <c r="G391" s="11">
        <v>0</v>
      </c>
      <c r="H391" s="11">
        <v>0</v>
      </c>
      <c r="I391" s="11">
        <v>466000</v>
      </c>
    </row>
    <row r="392" spans="1:9" x14ac:dyDescent="0.25">
      <c r="A392">
        <v>2026</v>
      </c>
      <c r="B392">
        <v>3</v>
      </c>
      <c r="C392" s="1" t="s">
        <v>808</v>
      </c>
      <c r="D392">
        <v>1</v>
      </c>
      <c r="E392">
        <v>2381</v>
      </c>
      <c r="F392" t="s">
        <v>389</v>
      </c>
      <c r="G392" s="11">
        <v>0</v>
      </c>
      <c r="H392" s="11">
        <v>0</v>
      </c>
      <c r="I392" s="11">
        <v>466000</v>
      </c>
    </row>
    <row r="393" spans="1:9" x14ac:dyDescent="0.25">
      <c r="A393">
        <v>2026</v>
      </c>
      <c r="B393">
        <v>3</v>
      </c>
      <c r="C393" s="1" t="s">
        <v>809</v>
      </c>
      <c r="F393" t="s">
        <v>390</v>
      </c>
      <c r="G393" s="11">
        <v>0</v>
      </c>
      <c r="H393" s="11">
        <v>722364.1</v>
      </c>
      <c r="I393" s="11">
        <v>65352000</v>
      </c>
    </row>
    <row r="394" spans="1:9" x14ac:dyDescent="0.25">
      <c r="A394">
        <v>2026</v>
      </c>
      <c r="B394">
        <v>3</v>
      </c>
      <c r="C394" s="1" t="s">
        <v>810</v>
      </c>
      <c r="F394" t="s">
        <v>217</v>
      </c>
      <c r="G394" s="11">
        <v>0</v>
      </c>
      <c r="H394" s="11">
        <v>0</v>
      </c>
      <c r="I394" s="11">
        <v>30002000</v>
      </c>
    </row>
    <row r="395" spans="1:9" x14ac:dyDescent="0.25">
      <c r="A395">
        <v>2026</v>
      </c>
      <c r="B395">
        <v>3</v>
      </c>
      <c r="C395" s="1" t="s">
        <v>811</v>
      </c>
      <c r="F395" t="s">
        <v>391</v>
      </c>
      <c r="G395" s="11">
        <v>0</v>
      </c>
      <c r="H395" s="11">
        <v>0</v>
      </c>
      <c r="I395" s="11">
        <v>30002000</v>
      </c>
    </row>
    <row r="396" spans="1:9" x14ac:dyDescent="0.25">
      <c r="A396">
        <v>2026</v>
      </c>
      <c r="B396">
        <v>3</v>
      </c>
      <c r="C396" s="1" t="s">
        <v>812</v>
      </c>
      <c r="F396" t="s">
        <v>392</v>
      </c>
      <c r="G396" s="11">
        <v>0</v>
      </c>
      <c r="H396" s="11">
        <v>0</v>
      </c>
      <c r="I396" s="11">
        <v>30002000</v>
      </c>
    </row>
    <row r="397" spans="1:9" x14ac:dyDescent="0.25">
      <c r="A397">
        <v>2026</v>
      </c>
      <c r="B397">
        <v>3</v>
      </c>
      <c r="C397" s="1" t="s">
        <v>813</v>
      </c>
      <c r="F397" t="s">
        <v>393</v>
      </c>
      <c r="G397" s="11">
        <v>0</v>
      </c>
      <c r="H397" s="11">
        <v>0</v>
      </c>
      <c r="I397" s="11">
        <v>30002000</v>
      </c>
    </row>
    <row r="398" spans="1:9" x14ac:dyDescent="0.25">
      <c r="A398">
        <v>2026</v>
      </c>
      <c r="B398">
        <v>3</v>
      </c>
      <c r="C398" s="1" t="s">
        <v>814</v>
      </c>
      <c r="D398">
        <v>5</v>
      </c>
      <c r="E398">
        <v>2697</v>
      </c>
      <c r="F398" t="s">
        <v>394</v>
      </c>
      <c r="G398" s="11">
        <v>0</v>
      </c>
      <c r="H398" s="11">
        <v>0</v>
      </c>
      <c r="I398" s="11">
        <v>30002000</v>
      </c>
    </row>
    <row r="399" spans="1:9" x14ac:dyDescent="0.25">
      <c r="A399">
        <v>2026</v>
      </c>
      <c r="B399">
        <v>3</v>
      </c>
      <c r="C399" s="1" t="s">
        <v>815</v>
      </c>
      <c r="F399" t="s">
        <v>282</v>
      </c>
      <c r="G399" s="11">
        <v>0</v>
      </c>
      <c r="H399" s="11">
        <v>520989.46</v>
      </c>
      <c r="I399" s="11">
        <v>20393000</v>
      </c>
    </row>
    <row r="400" spans="1:9" x14ac:dyDescent="0.25">
      <c r="A400">
        <v>2026</v>
      </c>
      <c r="B400">
        <v>3</v>
      </c>
      <c r="C400" s="1" t="s">
        <v>816</v>
      </c>
      <c r="F400" t="s">
        <v>395</v>
      </c>
      <c r="G400" s="11">
        <v>0</v>
      </c>
      <c r="H400" s="11">
        <v>520989.46</v>
      </c>
      <c r="I400" s="11">
        <v>20393000</v>
      </c>
    </row>
    <row r="401" spans="1:9" x14ac:dyDescent="0.25">
      <c r="A401">
        <v>2026</v>
      </c>
      <c r="B401">
        <v>3</v>
      </c>
      <c r="C401" s="1" t="s">
        <v>817</v>
      </c>
      <c r="F401" t="s">
        <v>300</v>
      </c>
      <c r="G401" s="11">
        <v>0</v>
      </c>
      <c r="H401" s="11">
        <v>520989.46</v>
      </c>
      <c r="I401" s="11">
        <v>20393000</v>
      </c>
    </row>
    <row r="402" spans="1:9" x14ac:dyDescent="0.25">
      <c r="A402">
        <v>2026</v>
      </c>
      <c r="B402">
        <v>3</v>
      </c>
      <c r="C402" s="1" t="s">
        <v>818</v>
      </c>
      <c r="D402">
        <v>2</v>
      </c>
      <c r="E402">
        <v>2034</v>
      </c>
      <c r="F402" t="s">
        <v>396</v>
      </c>
      <c r="G402" s="11">
        <v>0</v>
      </c>
      <c r="H402" s="11">
        <v>0</v>
      </c>
      <c r="I402" s="11">
        <v>14012000</v>
      </c>
    </row>
    <row r="403" spans="1:9" x14ac:dyDescent="0.25">
      <c r="A403">
        <v>2026</v>
      </c>
      <c r="B403">
        <v>3</v>
      </c>
      <c r="C403" s="1" t="s">
        <v>819</v>
      </c>
      <c r="D403">
        <v>2</v>
      </c>
      <c r="E403">
        <v>4007</v>
      </c>
      <c r="F403" t="s">
        <v>397</v>
      </c>
      <c r="G403" s="11">
        <v>0</v>
      </c>
      <c r="H403" s="11">
        <v>0</v>
      </c>
      <c r="I403" s="11">
        <v>100000</v>
      </c>
    </row>
    <row r="404" spans="1:9" x14ac:dyDescent="0.25">
      <c r="A404">
        <v>2026</v>
      </c>
      <c r="B404">
        <v>3</v>
      </c>
      <c r="C404" s="1" t="s">
        <v>820</v>
      </c>
      <c r="D404">
        <v>2</v>
      </c>
      <c r="E404">
        <v>2981</v>
      </c>
      <c r="F404" t="s">
        <v>398</v>
      </c>
      <c r="G404" s="11">
        <v>0</v>
      </c>
      <c r="H404" s="11">
        <v>267733.65000000002</v>
      </c>
      <c r="I404" s="11">
        <v>671000</v>
      </c>
    </row>
    <row r="405" spans="1:9" x14ac:dyDescent="0.25">
      <c r="A405">
        <v>2026</v>
      </c>
      <c r="B405">
        <v>3</v>
      </c>
      <c r="C405" s="1" t="s">
        <v>821</v>
      </c>
      <c r="D405">
        <v>2</v>
      </c>
      <c r="E405">
        <v>2982</v>
      </c>
      <c r="F405" t="s">
        <v>399</v>
      </c>
      <c r="G405" s="11">
        <v>0</v>
      </c>
      <c r="H405" s="11">
        <v>0</v>
      </c>
      <c r="I405" s="11">
        <v>1282000</v>
      </c>
    </row>
    <row r="406" spans="1:9" x14ac:dyDescent="0.25">
      <c r="A406">
        <v>2026</v>
      </c>
      <c r="B406">
        <v>3</v>
      </c>
      <c r="C406" s="1" t="s">
        <v>822</v>
      </c>
      <c r="D406">
        <v>2</v>
      </c>
      <c r="E406">
        <v>2634</v>
      </c>
      <c r="F406" t="s">
        <v>400</v>
      </c>
      <c r="G406" s="11">
        <v>0</v>
      </c>
      <c r="H406" s="11">
        <v>0</v>
      </c>
      <c r="I406" s="11">
        <v>4328000</v>
      </c>
    </row>
    <row r="407" spans="1:9" x14ac:dyDescent="0.25">
      <c r="A407">
        <v>2026</v>
      </c>
      <c r="B407">
        <v>3</v>
      </c>
      <c r="C407" s="1" t="s">
        <v>823</v>
      </c>
      <c r="D407">
        <v>2</v>
      </c>
      <c r="E407">
        <v>4029</v>
      </c>
      <c r="F407" t="s">
        <v>401</v>
      </c>
      <c r="G407" s="11">
        <v>0</v>
      </c>
      <c r="H407" s="11">
        <v>253255.81</v>
      </c>
      <c r="I407" s="11">
        <v>0</v>
      </c>
    </row>
    <row r="408" spans="1:9" x14ac:dyDescent="0.25">
      <c r="A408">
        <v>2026</v>
      </c>
      <c r="B408">
        <v>3</v>
      </c>
      <c r="C408" s="1" t="s">
        <v>824</v>
      </c>
      <c r="F408" t="s">
        <v>402</v>
      </c>
      <c r="G408" s="11">
        <v>0</v>
      </c>
      <c r="H408" s="11">
        <v>201374.64</v>
      </c>
      <c r="I408" s="11">
        <v>14957000</v>
      </c>
    </row>
    <row r="409" spans="1:9" x14ac:dyDescent="0.25">
      <c r="A409">
        <v>2026</v>
      </c>
      <c r="B409">
        <v>3</v>
      </c>
      <c r="C409" s="1" t="s">
        <v>825</v>
      </c>
      <c r="F409" t="s">
        <v>402</v>
      </c>
      <c r="G409" s="11">
        <v>0</v>
      </c>
      <c r="H409" s="11">
        <v>201374.64</v>
      </c>
      <c r="I409" s="11">
        <v>14957000</v>
      </c>
    </row>
    <row r="410" spans="1:9" x14ac:dyDescent="0.25">
      <c r="A410">
        <v>2026</v>
      </c>
      <c r="B410">
        <v>3</v>
      </c>
      <c r="C410" s="1" t="s">
        <v>826</v>
      </c>
      <c r="F410" t="s">
        <v>403</v>
      </c>
      <c r="G410" s="11">
        <v>0</v>
      </c>
      <c r="H410" s="11">
        <v>201374.64</v>
      </c>
      <c r="I410" s="11">
        <v>14957000</v>
      </c>
    </row>
    <row r="411" spans="1:9" x14ac:dyDescent="0.25">
      <c r="A411">
        <v>2026</v>
      </c>
      <c r="B411">
        <v>3</v>
      </c>
      <c r="C411" s="1" t="s">
        <v>827</v>
      </c>
      <c r="D411">
        <v>6</v>
      </c>
      <c r="E411">
        <v>2612</v>
      </c>
      <c r="F411" t="s">
        <v>404</v>
      </c>
      <c r="G411" s="11">
        <v>0</v>
      </c>
      <c r="H411" s="11">
        <v>3208.85</v>
      </c>
      <c r="I411" s="11">
        <v>60000</v>
      </c>
    </row>
    <row r="412" spans="1:9" x14ac:dyDescent="0.25">
      <c r="A412">
        <v>2026</v>
      </c>
      <c r="B412">
        <v>3</v>
      </c>
      <c r="C412" s="1" t="s">
        <v>828</v>
      </c>
      <c r="D412">
        <v>3</v>
      </c>
      <c r="E412">
        <v>2622</v>
      </c>
      <c r="F412" t="s">
        <v>405</v>
      </c>
      <c r="G412" s="11">
        <v>0</v>
      </c>
      <c r="H412" s="11">
        <v>198165.79</v>
      </c>
      <c r="I412" s="11">
        <v>8356000</v>
      </c>
    </row>
    <row r="413" spans="1:9" x14ac:dyDescent="0.25">
      <c r="A413">
        <v>2026</v>
      </c>
      <c r="B413">
        <v>3</v>
      </c>
      <c r="C413" s="1" t="s">
        <v>829</v>
      </c>
      <c r="D413">
        <v>6</v>
      </c>
      <c r="E413">
        <v>2628</v>
      </c>
      <c r="F413" t="s">
        <v>406</v>
      </c>
      <c r="G413" s="11">
        <v>0</v>
      </c>
      <c r="H413" s="11">
        <v>0</v>
      </c>
      <c r="I413" s="11">
        <v>6541000</v>
      </c>
    </row>
    <row r="414" spans="1:9" x14ac:dyDescent="0.25">
      <c r="A414">
        <v>2026</v>
      </c>
      <c r="B414">
        <v>3</v>
      </c>
      <c r="C414" s="1" t="s">
        <v>830</v>
      </c>
      <c r="F414" t="s">
        <v>407</v>
      </c>
      <c r="G414" s="11">
        <v>-12168390.09</v>
      </c>
      <c r="H414" s="11">
        <v>-82733316.950000003</v>
      </c>
      <c r="I414" s="11">
        <v>-378812000</v>
      </c>
    </row>
    <row r="415" spans="1:9" x14ac:dyDescent="0.25">
      <c r="A415">
        <v>2026</v>
      </c>
      <c r="B415">
        <v>3</v>
      </c>
      <c r="C415" s="1" t="s">
        <v>831</v>
      </c>
      <c r="F415" t="s">
        <v>408</v>
      </c>
      <c r="G415" s="11">
        <v>-12168390.09</v>
      </c>
      <c r="H415" s="11">
        <v>-82733316.950000003</v>
      </c>
      <c r="I415" s="11">
        <v>-378812000</v>
      </c>
    </row>
    <row r="416" spans="1:9" x14ac:dyDescent="0.25">
      <c r="A416">
        <v>2026</v>
      </c>
      <c r="B416">
        <v>3</v>
      </c>
      <c r="C416" s="1" t="s">
        <v>832</v>
      </c>
      <c r="F416" t="s">
        <v>409</v>
      </c>
      <c r="G416" s="11">
        <v>-12168390.09</v>
      </c>
      <c r="H416" s="11">
        <v>-82733316.950000003</v>
      </c>
      <c r="I416" s="11">
        <v>-378812000</v>
      </c>
    </row>
    <row r="417" spans="1:9" x14ac:dyDescent="0.25">
      <c r="A417">
        <v>2026</v>
      </c>
      <c r="B417">
        <v>3</v>
      </c>
      <c r="C417" s="1" t="s">
        <v>833</v>
      </c>
      <c r="F417" t="s">
        <v>410</v>
      </c>
      <c r="G417" s="11">
        <v>0</v>
      </c>
      <c r="H417" s="11">
        <v>-5912445.5599999996</v>
      </c>
      <c r="I417" s="11">
        <v>-29879000</v>
      </c>
    </row>
    <row r="418" spans="1:9" x14ac:dyDescent="0.25">
      <c r="A418">
        <v>2026</v>
      </c>
      <c r="B418">
        <v>3</v>
      </c>
      <c r="C418" s="1" t="s">
        <v>834</v>
      </c>
      <c r="D418">
        <v>1</v>
      </c>
      <c r="E418">
        <v>2640</v>
      </c>
      <c r="F418" t="s">
        <v>411</v>
      </c>
      <c r="G418" s="11">
        <v>0</v>
      </c>
      <c r="H418" s="11">
        <v>-5908876.7599999998</v>
      </c>
      <c r="I418" s="11">
        <v>-29782000</v>
      </c>
    </row>
    <row r="419" spans="1:9" x14ac:dyDescent="0.25">
      <c r="A419">
        <v>2026</v>
      </c>
      <c r="B419">
        <v>3</v>
      </c>
      <c r="C419" s="1" t="s">
        <v>835</v>
      </c>
      <c r="D419">
        <v>1</v>
      </c>
      <c r="E419">
        <v>2710</v>
      </c>
      <c r="F419" t="s">
        <v>412</v>
      </c>
      <c r="G419" s="11">
        <v>0</v>
      </c>
      <c r="H419" s="11">
        <v>-3568.8</v>
      </c>
      <c r="I419" s="11">
        <v>-97000</v>
      </c>
    </row>
    <row r="420" spans="1:9" x14ac:dyDescent="0.25">
      <c r="A420">
        <v>2026</v>
      </c>
      <c r="B420">
        <v>3</v>
      </c>
      <c r="C420" s="1" t="s">
        <v>836</v>
      </c>
      <c r="F420" t="s">
        <v>413</v>
      </c>
      <c r="G420" s="11">
        <v>-12168390.09</v>
      </c>
      <c r="H420" s="11">
        <v>-76820871.390000001</v>
      </c>
      <c r="I420" s="11">
        <v>-348933000</v>
      </c>
    </row>
    <row r="421" spans="1:9" x14ac:dyDescent="0.25">
      <c r="A421">
        <v>2026</v>
      </c>
      <c r="B421">
        <v>3</v>
      </c>
      <c r="C421" s="1" t="s">
        <v>837</v>
      </c>
      <c r="F421" t="s">
        <v>414</v>
      </c>
      <c r="G421" s="11">
        <v>-12168390.09</v>
      </c>
      <c r="H421" s="11">
        <v>-76820871.390000001</v>
      </c>
      <c r="I421" s="11">
        <v>-348933000</v>
      </c>
    </row>
    <row r="422" spans="1:9" x14ac:dyDescent="0.25">
      <c r="A422">
        <v>2026</v>
      </c>
      <c r="B422">
        <v>3</v>
      </c>
      <c r="C422" s="1" t="s">
        <v>838</v>
      </c>
      <c r="D422">
        <v>1</v>
      </c>
      <c r="E422">
        <v>2650</v>
      </c>
      <c r="F422" t="s">
        <v>415</v>
      </c>
      <c r="G422" s="11">
        <v>-11162732.029999999</v>
      </c>
      <c r="H422" s="11">
        <v>-47839531.549999997</v>
      </c>
      <c r="I422" s="11">
        <v>-294333000</v>
      </c>
    </row>
    <row r="423" spans="1:9" x14ac:dyDescent="0.25">
      <c r="A423">
        <v>2026</v>
      </c>
      <c r="B423">
        <v>3</v>
      </c>
      <c r="C423" s="1" t="s">
        <v>839</v>
      </c>
      <c r="D423">
        <v>1</v>
      </c>
      <c r="E423">
        <v>2711</v>
      </c>
      <c r="F423" t="s">
        <v>416</v>
      </c>
      <c r="G423" s="11">
        <v>-982797.49</v>
      </c>
      <c r="H423" s="11">
        <v>-28603408.969999999</v>
      </c>
      <c r="I423" s="11">
        <v>-52487000</v>
      </c>
    </row>
    <row r="424" spans="1:9" x14ac:dyDescent="0.25">
      <c r="A424">
        <v>2026</v>
      </c>
      <c r="B424">
        <v>3</v>
      </c>
      <c r="C424" s="1" t="s">
        <v>840</v>
      </c>
      <c r="D424">
        <v>1</v>
      </c>
      <c r="E424">
        <v>2399</v>
      </c>
      <c r="F424" t="s">
        <v>417</v>
      </c>
      <c r="G424" s="11">
        <v>-22860.57</v>
      </c>
      <c r="H424" s="11">
        <v>-377930.87</v>
      </c>
      <c r="I424" s="11">
        <v>-2113000</v>
      </c>
    </row>
  </sheetData>
  <sortState ref="A2:I424">
    <sortCondition ref="C1"/>
  </sortState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H18"/>
  <sheetViews>
    <sheetView workbookViewId="0">
      <selection activeCell="E28" sqref="E28"/>
    </sheetView>
  </sheetViews>
  <sheetFormatPr defaultRowHeight="15" x14ac:dyDescent="0.25"/>
  <cols>
    <col min="1" max="1" width="46.85546875" bestFit="1" customWidth="1"/>
    <col min="2" max="2" width="24.28515625" bestFit="1" customWidth="1"/>
    <col min="3" max="3" width="24" bestFit="1" customWidth="1"/>
    <col min="4" max="4" width="26.7109375" bestFit="1" customWidth="1"/>
    <col min="5" max="5" width="34.85546875" bestFit="1" customWidth="1"/>
    <col min="6" max="6" width="30.28515625" customWidth="1"/>
    <col min="7" max="7" width="35.42578125" bestFit="1" customWidth="1"/>
    <col min="8" max="8" width="28.7109375" bestFit="1" customWidth="1"/>
    <col min="9" max="9" width="69.7109375" bestFit="1" customWidth="1"/>
    <col min="10" max="10" width="100.28515625" bestFit="1" customWidth="1"/>
    <col min="11" max="11" width="44.85546875" bestFit="1" customWidth="1"/>
    <col min="12" max="12" width="58" bestFit="1" customWidth="1"/>
    <col min="13" max="13" width="34.28515625" bestFit="1" customWidth="1"/>
    <col min="14" max="14" width="36.85546875" bestFit="1" customWidth="1"/>
    <col min="15" max="15" width="46.85546875" bestFit="1" customWidth="1"/>
    <col min="16" max="16" width="93.28515625" bestFit="1" customWidth="1"/>
    <col min="17" max="17" width="27.85546875" bestFit="1" customWidth="1"/>
    <col min="18" max="18" width="75.42578125" bestFit="1" customWidth="1"/>
    <col min="19" max="19" width="80.28515625" bestFit="1" customWidth="1"/>
    <col min="20" max="20" width="75" bestFit="1" customWidth="1"/>
    <col min="21" max="21" width="65.85546875" bestFit="1" customWidth="1"/>
    <col min="22" max="22" width="64.28515625" bestFit="1" customWidth="1"/>
    <col min="23" max="23" width="67" bestFit="1" customWidth="1"/>
    <col min="24" max="24" width="15.5703125" bestFit="1" customWidth="1"/>
    <col min="25" max="25" width="51.7109375" bestFit="1" customWidth="1"/>
    <col min="26" max="26" width="68.140625" bestFit="1" customWidth="1"/>
    <col min="27" max="27" width="86" bestFit="1" customWidth="1"/>
    <col min="28" max="28" width="60.5703125" bestFit="1" customWidth="1"/>
    <col min="29" max="29" width="44.7109375" bestFit="1" customWidth="1"/>
    <col min="30" max="30" width="70.7109375" bestFit="1" customWidth="1"/>
    <col min="31" max="31" width="98.42578125" bestFit="1" customWidth="1"/>
    <col min="32" max="32" width="60.5703125" bestFit="1" customWidth="1"/>
    <col min="33" max="33" width="63" bestFit="1" customWidth="1"/>
    <col min="34" max="34" width="81.7109375" bestFit="1" customWidth="1"/>
    <col min="35" max="35" width="89" bestFit="1" customWidth="1"/>
    <col min="36" max="36" width="71.140625" bestFit="1" customWidth="1"/>
    <col min="37" max="37" width="86.140625" bestFit="1" customWidth="1"/>
    <col min="38" max="38" width="71.42578125" bestFit="1" customWidth="1"/>
    <col min="39" max="39" width="96.140625" bestFit="1" customWidth="1"/>
    <col min="40" max="40" width="97" bestFit="1" customWidth="1"/>
    <col min="41" max="41" width="80.5703125" bestFit="1" customWidth="1"/>
    <col min="42" max="42" width="92.42578125" bestFit="1" customWidth="1"/>
    <col min="43" max="43" width="70.5703125" bestFit="1" customWidth="1"/>
    <col min="44" max="44" width="70.7109375" bestFit="1" customWidth="1"/>
    <col min="45" max="45" width="61.5703125" bestFit="1" customWidth="1"/>
    <col min="46" max="46" width="49.5703125" bestFit="1" customWidth="1"/>
    <col min="47" max="47" width="53.28515625" bestFit="1" customWidth="1"/>
    <col min="48" max="48" width="20.5703125" bestFit="1" customWidth="1"/>
    <col min="49" max="49" width="64.5703125" bestFit="1" customWidth="1"/>
    <col min="50" max="50" width="59.5703125" bestFit="1" customWidth="1"/>
    <col min="51" max="51" width="39.5703125" bestFit="1" customWidth="1"/>
    <col min="52" max="52" width="31.42578125" bestFit="1" customWidth="1"/>
    <col min="53" max="53" width="20.28515625" bestFit="1" customWidth="1"/>
    <col min="54" max="54" width="86.140625" bestFit="1" customWidth="1"/>
    <col min="55" max="55" width="83.28515625" bestFit="1" customWidth="1"/>
    <col min="56" max="56" width="95.5703125" bestFit="1" customWidth="1"/>
    <col min="57" max="57" width="8.7109375" bestFit="1" customWidth="1"/>
    <col min="58" max="58" width="18.5703125" bestFit="1" customWidth="1"/>
    <col min="59" max="59" width="27.140625" bestFit="1" customWidth="1"/>
    <col min="60" max="60" width="48.42578125" bestFit="1" customWidth="1"/>
    <col min="61" max="61" width="49" bestFit="1" customWidth="1"/>
    <col min="62" max="62" width="46.7109375" bestFit="1" customWidth="1"/>
    <col min="63" max="63" width="48.7109375" bestFit="1" customWidth="1"/>
    <col min="64" max="64" width="47.28515625" bestFit="1" customWidth="1"/>
    <col min="65" max="65" width="49.7109375" bestFit="1" customWidth="1"/>
    <col min="66" max="66" width="41.85546875" bestFit="1" customWidth="1"/>
    <col min="67" max="67" width="27.85546875" bestFit="1" customWidth="1"/>
    <col min="68" max="68" width="30.85546875" bestFit="1" customWidth="1"/>
    <col min="69" max="69" width="60.140625" bestFit="1" customWidth="1"/>
    <col min="70" max="70" width="66" bestFit="1" customWidth="1"/>
    <col min="71" max="71" width="33.28515625" bestFit="1" customWidth="1"/>
    <col min="72" max="72" width="63.28515625" bestFit="1" customWidth="1"/>
    <col min="73" max="73" width="45.7109375" bestFit="1" customWidth="1"/>
    <col min="74" max="74" width="70" bestFit="1" customWidth="1"/>
    <col min="75" max="75" width="32.7109375" bestFit="1" customWidth="1"/>
    <col min="76" max="76" width="12.140625" bestFit="1" customWidth="1"/>
    <col min="77" max="77" width="20.5703125" bestFit="1" customWidth="1"/>
    <col min="78" max="78" width="26" bestFit="1" customWidth="1"/>
    <col min="79" max="79" width="104" bestFit="1" customWidth="1"/>
    <col min="80" max="80" width="99" bestFit="1" customWidth="1"/>
    <col min="81" max="81" width="52.140625" bestFit="1" customWidth="1"/>
    <col min="82" max="82" width="42.42578125" bestFit="1" customWidth="1"/>
    <col min="83" max="83" width="46.5703125" bestFit="1" customWidth="1"/>
    <col min="84" max="84" width="13.140625" bestFit="1" customWidth="1"/>
    <col min="85" max="85" width="14" bestFit="1" customWidth="1"/>
    <col min="86" max="86" width="14.5703125" bestFit="1" customWidth="1"/>
    <col min="87" max="87" width="12.140625" bestFit="1" customWidth="1"/>
    <col min="88" max="88" width="14.28515625" bestFit="1" customWidth="1"/>
    <col min="89" max="89" width="15.85546875" bestFit="1" customWidth="1"/>
    <col min="90" max="90" width="12.5703125" bestFit="1" customWidth="1"/>
    <col min="91" max="91" width="42.7109375" bestFit="1" customWidth="1"/>
    <col min="92" max="92" width="60.42578125" bestFit="1" customWidth="1"/>
    <col min="93" max="93" width="61.42578125" bestFit="1" customWidth="1"/>
    <col min="94" max="94" width="83.28515625" bestFit="1" customWidth="1"/>
    <col min="95" max="95" width="26.42578125" bestFit="1" customWidth="1"/>
    <col min="96" max="96" width="42.28515625" bestFit="1" customWidth="1"/>
    <col min="97" max="97" width="51.42578125" bestFit="1" customWidth="1"/>
    <col min="98" max="98" width="87.28515625" bestFit="1" customWidth="1"/>
    <col min="99" max="99" width="50.140625" bestFit="1" customWidth="1"/>
    <col min="100" max="100" width="34.28515625" bestFit="1" customWidth="1"/>
    <col min="101" max="101" width="87.28515625" bestFit="1" customWidth="1"/>
    <col min="102" max="102" width="65.140625" bestFit="1" customWidth="1"/>
    <col min="103" max="103" width="81.5703125" bestFit="1" customWidth="1"/>
    <col min="104" max="104" width="40.85546875" bestFit="1" customWidth="1"/>
    <col min="105" max="105" width="82" bestFit="1" customWidth="1"/>
    <col min="106" max="106" width="59" bestFit="1" customWidth="1"/>
    <col min="107" max="107" width="36.42578125" bestFit="1" customWidth="1"/>
    <col min="108" max="108" width="24.28515625" bestFit="1" customWidth="1"/>
    <col min="109" max="109" width="65.42578125" bestFit="1" customWidth="1"/>
    <col min="110" max="110" width="28.140625" bestFit="1" customWidth="1"/>
    <col min="111" max="111" width="60.7109375" bestFit="1" customWidth="1"/>
    <col min="112" max="112" width="65" bestFit="1" customWidth="1"/>
    <col min="113" max="113" width="79.85546875" bestFit="1" customWidth="1"/>
    <col min="114" max="114" width="67.28515625" bestFit="1" customWidth="1"/>
    <col min="115" max="115" width="41.140625" bestFit="1" customWidth="1"/>
    <col min="116" max="116" width="43.85546875" bestFit="1" customWidth="1"/>
    <col min="117" max="117" width="42.42578125" bestFit="1" customWidth="1"/>
    <col min="118" max="118" width="65.7109375" bestFit="1" customWidth="1"/>
    <col min="119" max="119" width="58.7109375" bestFit="1" customWidth="1"/>
    <col min="120" max="120" width="53.7109375" bestFit="1" customWidth="1"/>
    <col min="121" max="121" width="74.42578125" bestFit="1" customWidth="1"/>
    <col min="122" max="122" width="56.85546875" bestFit="1" customWidth="1"/>
    <col min="123" max="123" width="55" bestFit="1" customWidth="1"/>
    <col min="124" max="124" width="69.7109375" bestFit="1" customWidth="1"/>
    <col min="125" max="125" width="56.28515625" bestFit="1" customWidth="1"/>
    <col min="126" max="126" width="51.42578125" bestFit="1" customWidth="1"/>
    <col min="127" max="127" width="57.140625" bestFit="1" customWidth="1"/>
    <col min="128" max="128" width="55.5703125" bestFit="1" customWidth="1"/>
    <col min="129" max="129" width="56.7109375" bestFit="1" customWidth="1"/>
    <col min="130" max="130" width="57" bestFit="1" customWidth="1"/>
    <col min="131" max="131" width="98.85546875" bestFit="1" customWidth="1"/>
    <col min="132" max="132" width="93.7109375" bestFit="1" customWidth="1"/>
    <col min="133" max="133" width="10.42578125" bestFit="1" customWidth="1"/>
    <col min="134" max="134" width="71.140625" bestFit="1" customWidth="1"/>
    <col min="135" max="135" width="62.42578125" bestFit="1" customWidth="1"/>
    <col min="136" max="136" width="31.42578125" bestFit="1" customWidth="1"/>
    <col min="137" max="137" width="26.140625" bestFit="1" customWidth="1"/>
    <col min="138" max="138" width="94.5703125" bestFit="1" customWidth="1"/>
    <col min="139" max="139" width="47.28515625" bestFit="1" customWidth="1"/>
    <col min="140" max="140" width="14.28515625" bestFit="1" customWidth="1"/>
    <col min="141" max="141" width="46.5703125" bestFit="1" customWidth="1"/>
    <col min="142" max="142" width="117" bestFit="1" customWidth="1"/>
    <col min="143" max="143" width="31.85546875" bestFit="1" customWidth="1"/>
    <col min="144" max="144" width="71.140625" bestFit="1" customWidth="1"/>
    <col min="145" max="145" width="70.5703125" bestFit="1" customWidth="1"/>
    <col min="146" max="146" width="72.85546875" bestFit="1" customWidth="1"/>
    <col min="147" max="147" width="84.28515625" bestFit="1" customWidth="1"/>
    <col min="148" max="148" width="75.7109375" bestFit="1" customWidth="1"/>
    <col min="149" max="149" width="73.42578125" bestFit="1" customWidth="1"/>
    <col min="150" max="150" width="63.140625" bestFit="1" customWidth="1"/>
    <col min="151" max="151" width="73" bestFit="1" customWidth="1"/>
    <col min="152" max="152" width="80" bestFit="1" customWidth="1"/>
    <col min="153" max="153" width="82.28515625" bestFit="1" customWidth="1"/>
    <col min="154" max="154" width="149.28515625" bestFit="1" customWidth="1"/>
    <col min="155" max="155" width="111.7109375" bestFit="1" customWidth="1"/>
    <col min="156" max="156" width="97.42578125" bestFit="1" customWidth="1"/>
    <col min="157" max="157" width="88.5703125" bestFit="1" customWidth="1"/>
    <col min="158" max="158" width="79.7109375" bestFit="1" customWidth="1"/>
    <col min="159" max="159" width="98.5703125" bestFit="1" customWidth="1"/>
    <col min="160" max="160" width="77.7109375" bestFit="1" customWidth="1"/>
    <col min="161" max="161" width="93.28515625" bestFit="1" customWidth="1"/>
    <col min="162" max="162" width="73.28515625" bestFit="1" customWidth="1"/>
    <col min="163" max="163" width="107.140625" bestFit="1" customWidth="1"/>
    <col min="164" max="164" width="106.7109375" bestFit="1" customWidth="1"/>
    <col min="165" max="165" width="119" bestFit="1" customWidth="1"/>
    <col min="166" max="166" width="136" bestFit="1" customWidth="1"/>
    <col min="167" max="167" width="136.28515625" bestFit="1" customWidth="1"/>
    <col min="168" max="168" width="94.42578125" bestFit="1" customWidth="1"/>
    <col min="169" max="169" width="99" bestFit="1" customWidth="1"/>
    <col min="170" max="170" width="124.5703125" bestFit="1" customWidth="1"/>
    <col min="171" max="171" width="92.140625" bestFit="1" customWidth="1"/>
    <col min="172" max="172" width="100.28515625" bestFit="1" customWidth="1"/>
    <col min="173" max="173" width="68.140625" bestFit="1" customWidth="1"/>
    <col min="174" max="174" width="44.140625" bestFit="1" customWidth="1"/>
    <col min="175" max="175" width="52.140625" bestFit="1" customWidth="1"/>
    <col min="176" max="176" width="69" bestFit="1" customWidth="1"/>
    <col min="177" max="177" width="101.28515625" bestFit="1" customWidth="1"/>
    <col min="178" max="178" width="66.140625" bestFit="1" customWidth="1"/>
    <col min="179" max="179" width="103.7109375" bestFit="1" customWidth="1"/>
    <col min="180" max="180" width="102.5703125" bestFit="1" customWidth="1"/>
    <col min="181" max="181" width="125.5703125" bestFit="1" customWidth="1"/>
    <col min="182" max="182" width="117.5703125" bestFit="1" customWidth="1"/>
    <col min="183" max="183" width="119.28515625" bestFit="1" customWidth="1"/>
    <col min="184" max="184" width="124.42578125" bestFit="1" customWidth="1"/>
    <col min="185" max="190" width="117" bestFit="1" customWidth="1"/>
    <col min="191" max="191" width="114.42578125" bestFit="1" customWidth="1"/>
    <col min="192" max="192" width="119.42578125" bestFit="1" customWidth="1"/>
    <col min="193" max="193" width="115.42578125" bestFit="1" customWidth="1"/>
    <col min="194" max="196" width="117" bestFit="1" customWidth="1"/>
    <col min="197" max="197" width="113.7109375" bestFit="1" customWidth="1"/>
    <col min="198" max="198" width="115" bestFit="1" customWidth="1"/>
    <col min="199" max="200" width="117" bestFit="1" customWidth="1"/>
    <col min="201" max="201" width="115" bestFit="1" customWidth="1"/>
    <col min="202" max="202" width="123.140625" bestFit="1" customWidth="1"/>
    <col min="203" max="203" width="97.42578125" bestFit="1" customWidth="1"/>
    <col min="204" max="204" width="78.140625" bestFit="1" customWidth="1"/>
    <col min="205" max="205" width="111.140625" bestFit="1" customWidth="1"/>
    <col min="206" max="206" width="84" bestFit="1" customWidth="1"/>
    <col min="207" max="207" width="113.7109375" bestFit="1" customWidth="1"/>
    <col min="208" max="208" width="109.28515625" bestFit="1" customWidth="1"/>
    <col min="209" max="209" width="69.85546875" bestFit="1" customWidth="1"/>
    <col min="210" max="210" width="69.28515625" bestFit="1" customWidth="1"/>
    <col min="211" max="211" width="52.42578125" bestFit="1" customWidth="1"/>
    <col min="212" max="212" width="93.140625" bestFit="1" customWidth="1"/>
    <col min="213" max="213" width="109" bestFit="1" customWidth="1"/>
    <col min="214" max="214" width="65.85546875" bestFit="1" customWidth="1"/>
    <col min="215" max="215" width="77.7109375" bestFit="1" customWidth="1"/>
    <col min="216" max="216" width="33.85546875" bestFit="1" customWidth="1"/>
    <col min="217" max="217" width="68.85546875" bestFit="1" customWidth="1"/>
    <col min="218" max="218" width="86.5703125" bestFit="1" customWidth="1"/>
    <col min="219" max="219" width="81.85546875" bestFit="1" customWidth="1"/>
    <col min="220" max="220" width="150.42578125" bestFit="1" customWidth="1"/>
    <col min="221" max="221" width="78.7109375" bestFit="1" customWidth="1"/>
    <col min="222" max="222" width="87.7109375" bestFit="1" customWidth="1"/>
    <col min="223" max="223" width="109.5703125" bestFit="1" customWidth="1"/>
    <col min="224" max="224" width="92.85546875" bestFit="1" customWidth="1"/>
    <col min="225" max="225" width="76.42578125" bestFit="1" customWidth="1"/>
    <col min="226" max="226" width="113.5703125" bestFit="1" customWidth="1"/>
    <col min="227" max="227" width="76.42578125" bestFit="1" customWidth="1"/>
    <col min="228" max="228" width="60.42578125" bestFit="1" customWidth="1"/>
    <col min="229" max="229" width="56.7109375" bestFit="1" customWidth="1"/>
    <col min="230" max="230" width="72.28515625" bestFit="1" customWidth="1"/>
    <col min="231" max="231" width="73.7109375" bestFit="1" customWidth="1"/>
    <col min="232" max="232" width="106.85546875" bestFit="1" customWidth="1"/>
    <col min="233" max="233" width="84.28515625" bestFit="1" customWidth="1"/>
    <col min="234" max="234" width="61.140625" bestFit="1" customWidth="1"/>
    <col min="235" max="235" width="57.85546875" bestFit="1" customWidth="1"/>
    <col min="236" max="236" width="91.5703125" bestFit="1" customWidth="1"/>
    <col min="237" max="237" width="66.7109375" bestFit="1" customWidth="1"/>
    <col min="238" max="238" width="131.85546875" bestFit="1" customWidth="1"/>
    <col min="239" max="239" width="55.140625" bestFit="1" customWidth="1"/>
    <col min="240" max="240" width="54.28515625" bestFit="1" customWidth="1"/>
    <col min="241" max="241" width="99.140625" bestFit="1" customWidth="1"/>
    <col min="242" max="242" width="89.5703125" bestFit="1" customWidth="1"/>
    <col min="243" max="243" width="43.85546875" bestFit="1" customWidth="1"/>
    <col min="244" max="244" width="71.28515625" bestFit="1" customWidth="1"/>
    <col min="245" max="245" width="60.28515625" bestFit="1" customWidth="1"/>
    <col min="246" max="246" width="72.28515625" bestFit="1" customWidth="1"/>
    <col min="247" max="247" width="67.7109375" bestFit="1" customWidth="1"/>
    <col min="248" max="248" width="49.85546875" bestFit="1" customWidth="1"/>
    <col min="249" max="249" width="79.42578125" bestFit="1" customWidth="1"/>
    <col min="250" max="250" width="38.42578125" bestFit="1" customWidth="1"/>
    <col min="251" max="251" width="65.42578125" bestFit="1" customWidth="1"/>
    <col min="252" max="252" width="78" bestFit="1" customWidth="1"/>
    <col min="253" max="253" width="80.28515625" bestFit="1" customWidth="1"/>
    <col min="254" max="254" width="95" bestFit="1" customWidth="1"/>
    <col min="255" max="255" width="43.140625" bestFit="1" customWidth="1"/>
    <col min="256" max="256" width="59.28515625" bestFit="1" customWidth="1"/>
    <col min="257" max="257" width="35.28515625" bestFit="1" customWidth="1"/>
    <col min="258" max="258" width="41.85546875" bestFit="1" customWidth="1"/>
    <col min="259" max="259" width="63" bestFit="1" customWidth="1"/>
    <col min="260" max="260" width="81.28515625" bestFit="1" customWidth="1"/>
    <col min="261" max="261" width="39.7109375" bestFit="1" customWidth="1"/>
    <col min="262" max="262" width="92.85546875" bestFit="1" customWidth="1"/>
    <col min="263" max="263" width="72.140625" bestFit="1" customWidth="1"/>
    <col min="264" max="264" width="73.5703125" bestFit="1" customWidth="1"/>
    <col min="265" max="265" width="90.42578125" bestFit="1" customWidth="1"/>
    <col min="266" max="266" width="82.28515625" bestFit="1" customWidth="1"/>
    <col min="267" max="267" width="127" bestFit="1" customWidth="1"/>
    <col min="268" max="268" width="84.85546875" bestFit="1" customWidth="1"/>
    <col min="269" max="269" width="120" bestFit="1" customWidth="1"/>
    <col min="270" max="270" width="136.140625" bestFit="1" customWidth="1"/>
    <col min="271" max="271" width="113" bestFit="1" customWidth="1"/>
    <col min="272" max="272" width="114.5703125" bestFit="1" customWidth="1"/>
    <col min="273" max="273" width="111" bestFit="1" customWidth="1"/>
    <col min="274" max="274" width="44" bestFit="1" customWidth="1"/>
    <col min="275" max="275" width="48.5703125" bestFit="1" customWidth="1"/>
    <col min="276" max="276" width="32.140625" bestFit="1" customWidth="1"/>
    <col min="277" max="277" width="63.42578125" bestFit="1" customWidth="1"/>
    <col min="278" max="278" width="51" bestFit="1" customWidth="1"/>
    <col min="279" max="279" width="53.42578125" bestFit="1" customWidth="1"/>
    <col min="280" max="280" width="41.5703125" bestFit="1" customWidth="1"/>
    <col min="281" max="281" width="48.42578125" bestFit="1" customWidth="1"/>
    <col min="282" max="282" width="45.42578125" bestFit="1" customWidth="1"/>
    <col min="283" max="283" width="39.140625" bestFit="1" customWidth="1"/>
    <col min="284" max="284" width="45" bestFit="1" customWidth="1"/>
    <col min="285" max="285" width="70.85546875" bestFit="1" customWidth="1"/>
    <col min="286" max="286" width="34.140625" bestFit="1" customWidth="1"/>
    <col min="287" max="287" width="44" bestFit="1" customWidth="1"/>
    <col min="288" max="288" width="44.28515625" bestFit="1" customWidth="1"/>
    <col min="289" max="289" width="59" bestFit="1" customWidth="1"/>
    <col min="290" max="290" width="61.85546875" bestFit="1" customWidth="1"/>
    <col min="291" max="291" width="56" bestFit="1" customWidth="1"/>
    <col min="292" max="292" width="75.7109375" bestFit="1" customWidth="1"/>
    <col min="293" max="293" width="46.7109375" bestFit="1" customWidth="1"/>
    <col min="294" max="294" width="47.28515625" bestFit="1" customWidth="1"/>
    <col min="295" max="295" width="58.28515625" bestFit="1" customWidth="1"/>
    <col min="296" max="296" width="41.7109375" bestFit="1" customWidth="1"/>
    <col min="297" max="297" width="81" bestFit="1" customWidth="1"/>
    <col min="298" max="298" width="22.7109375" bestFit="1" customWidth="1"/>
    <col min="299" max="299" width="42.5703125" bestFit="1" customWidth="1"/>
    <col min="300" max="300" width="22.28515625" bestFit="1" customWidth="1"/>
    <col min="301" max="301" width="50.5703125" bestFit="1" customWidth="1"/>
    <col min="302" max="302" width="17" bestFit="1" customWidth="1"/>
    <col min="303" max="303" width="28.140625" bestFit="1" customWidth="1"/>
    <col min="304" max="304" width="75.85546875" bestFit="1" customWidth="1"/>
    <col min="305" max="305" width="76.5703125" bestFit="1" customWidth="1"/>
    <col min="306" max="306" width="50.140625" bestFit="1" customWidth="1"/>
    <col min="307" max="307" width="67.7109375" bestFit="1" customWidth="1"/>
    <col min="308" max="308" width="56.140625" bestFit="1" customWidth="1"/>
    <col min="309" max="309" width="56.85546875" bestFit="1" customWidth="1"/>
    <col min="310" max="310" width="53.140625" bestFit="1" customWidth="1"/>
    <col min="311" max="311" width="89" bestFit="1" customWidth="1"/>
    <col min="312" max="312" width="54" bestFit="1" customWidth="1"/>
    <col min="313" max="313" width="79.5703125" bestFit="1" customWidth="1"/>
    <col min="314" max="314" width="66.28515625" bestFit="1" customWidth="1"/>
    <col min="315" max="315" width="60.28515625" bestFit="1" customWidth="1"/>
    <col min="316" max="316" width="79.140625" bestFit="1" customWidth="1"/>
    <col min="317" max="317" width="57.140625" bestFit="1" customWidth="1"/>
    <col min="318" max="318" width="54" bestFit="1" customWidth="1"/>
    <col min="319" max="319" width="45" bestFit="1" customWidth="1"/>
    <col min="320" max="320" width="52.85546875" bestFit="1" customWidth="1"/>
    <col min="321" max="321" width="68.85546875" bestFit="1" customWidth="1"/>
    <col min="322" max="322" width="21.5703125" bestFit="1" customWidth="1"/>
    <col min="323" max="323" width="20.140625" bestFit="1" customWidth="1"/>
    <col min="324" max="324" width="19.85546875" bestFit="1" customWidth="1"/>
    <col min="325" max="325" width="40" bestFit="1" customWidth="1"/>
    <col min="326" max="326" width="33" bestFit="1" customWidth="1"/>
    <col min="327" max="327" width="77.5703125" bestFit="1" customWidth="1"/>
    <col min="328" max="328" width="50.5703125" bestFit="1" customWidth="1"/>
    <col min="329" max="329" width="61.28515625" bestFit="1" customWidth="1"/>
    <col min="330" max="330" width="13.42578125" bestFit="1" customWidth="1"/>
    <col min="331" max="331" width="55.140625" bestFit="1" customWidth="1"/>
    <col min="332" max="332" width="56.140625" bestFit="1" customWidth="1"/>
    <col min="333" max="333" width="48.42578125" bestFit="1" customWidth="1"/>
    <col min="334" max="334" width="38" bestFit="1" customWidth="1"/>
    <col min="335" max="335" width="28.7109375" bestFit="1" customWidth="1"/>
    <col min="336" max="336" width="46.7109375" bestFit="1" customWidth="1"/>
    <col min="337" max="337" width="33.42578125" bestFit="1" customWidth="1"/>
    <col min="338" max="338" width="66.5703125" bestFit="1" customWidth="1"/>
    <col min="339" max="339" width="57.85546875" bestFit="1" customWidth="1"/>
    <col min="340" max="340" width="39.5703125" bestFit="1" customWidth="1"/>
    <col min="341" max="341" width="56.5703125" bestFit="1" customWidth="1"/>
    <col min="342" max="342" width="30.140625" bestFit="1" customWidth="1"/>
    <col min="343" max="343" width="46" bestFit="1" customWidth="1"/>
    <col min="344" max="344" width="30.85546875" bestFit="1" customWidth="1"/>
    <col min="345" max="345" width="55.5703125" bestFit="1" customWidth="1"/>
    <col min="346" max="346" width="20.85546875" bestFit="1" customWidth="1"/>
    <col min="347" max="347" width="39.42578125" bestFit="1" customWidth="1"/>
    <col min="348" max="348" width="18.5703125" bestFit="1" customWidth="1"/>
    <col min="349" max="349" width="46.28515625" bestFit="1" customWidth="1"/>
    <col min="350" max="350" width="35.140625" bestFit="1" customWidth="1"/>
    <col min="351" max="351" width="68.5703125" bestFit="1" customWidth="1"/>
    <col min="352" max="352" width="51.7109375" bestFit="1" customWidth="1"/>
    <col min="353" max="353" width="29.85546875" bestFit="1" customWidth="1"/>
    <col min="354" max="354" width="52" bestFit="1" customWidth="1"/>
    <col min="355" max="355" width="46.85546875" bestFit="1" customWidth="1"/>
    <col min="356" max="356" width="6.7109375" bestFit="1" customWidth="1"/>
    <col min="357" max="357" width="44.85546875" bestFit="1" customWidth="1"/>
    <col min="358" max="358" width="53.5703125" bestFit="1" customWidth="1"/>
    <col min="359" max="359" width="34.85546875" bestFit="1" customWidth="1"/>
    <col min="360" max="360" width="41.85546875" bestFit="1" customWidth="1"/>
    <col min="361" max="361" width="93.85546875" bestFit="1" customWidth="1"/>
    <col min="362" max="362" width="41" bestFit="1" customWidth="1"/>
    <col min="363" max="363" width="75" bestFit="1" customWidth="1"/>
    <col min="364" max="364" width="27.7109375" bestFit="1" customWidth="1"/>
    <col min="365" max="365" width="46.85546875" bestFit="1" customWidth="1"/>
    <col min="366" max="366" width="89.7109375" bestFit="1" customWidth="1"/>
    <col min="367" max="367" width="27.42578125" bestFit="1" customWidth="1"/>
    <col min="368" max="368" width="61.140625" bestFit="1" customWidth="1"/>
    <col min="369" max="369" width="84" bestFit="1" customWidth="1"/>
    <col min="370" max="370" width="68.5703125" bestFit="1" customWidth="1"/>
    <col min="371" max="371" width="69" bestFit="1" customWidth="1"/>
    <col min="372" max="372" width="85.7109375" bestFit="1" customWidth="1"/>
    <col min="373" max="373" width="67.5703125" bestFit="1" customWidth="1"/>
    <col min="374" max="374" width="61" bestFit="1" customWidth="1"/>
    <col min="375" max="375" width="42.28515625" bestFit="1" customWidth="1"/>
    <col min="376" max="376" width="49.7109375" bestFit="1" customWidth="1"/>
    <col min="377" max="377" width="190.42578125" bestFit="1" customWidth="1"/>
    <col min="378" max="378" width="79.5703125" bestFit="1" customWidth="1"/>
    <col min="379" max="379" width="190.5703125" bestFit="1" customWidth="1"/>
    <col min="380" max="380" width="121.5703125" bestFit="1" customWidth="1"/>
    <col min="381" max="381" width="125.5703125" bestFit="1" customWidth="1"/>
    <col min="382" max="382" width="122" bestFit="1" customWidth="1"/>
    <col min="383" max="383" width="117.42578125" bestFit="1" customWidth="1"/>
    <col min="384" max="384" width="113.42578125" bestFit="1" customWidth="1"/>
    <col min="385" max="385" width="119.5703125" bestFit="1" customWidth="1"/>
    <col min="386" max="386" width="70.7109375" bestFit="1" customWidth="1"/>
    <col min="387" max="387" width="158.28515625" bestFit="1" customWidth="1"/>
    <col min="388" max="388" width="158.5703125" bestFit="1" customWidth="1"/>
    <col min="389" max="389" width="78.85546875" bestFit="1" customWidth="1"/>
    <col min="390" max="390" width="84.85546875" bestFit="1" customWidth="1"/>
    <col min="391" max="391" width="79.42578125" bestFit="1" customWidth="1"/>
    <col min="392" max="392" width="94.5703125" bestFit="1" customWidth="1"/>
    <col min="393" max="393" width="62.42578125" bestFit="1" customWidth="1"/>
    <col min="394" max="394" width="145.28515625" bestFit="1" customWidth="1"/>
    <col min="395" max="395" width="155.140625" bestFit="1" customWidth="1"/>
    <col min="396" max="396" width="63.28515625" bestFit="1" customWidth="1"/>
    <col min="397" max="397" width="68" bestFit="1" customWidth="1"/>
    <col min="398" max="398" width="39.28515625" bestFit="1" customWidth="1"/>
    <col min="399" max="399" width="71.7109375" bestFit="1" customWidth="1"/>
    <col min="400" max="400" width="53.140625" bestFit="1" customWidth="1"/>
    <col min="401" max="401" width="85.5703125" bestFit="1" customWidth="1"/>
    <col min="402" max="402" width="98" bestFit="1" customWidth="1"/>
    <col min="403" max="403" width="21.7109375" bestFit="1" customWidth="1"/>
    <col min="404" max="404" width="17.42578125" bestFit="1" customWidth="1"/>
    <col min="405" max="405" width="7" bestFit="1" customWidth="1"/>
    <col min="406" max="406" width="10.7109375" bestFit="1" customWidth="1"/>
  </cols>
  <sheetData>
    <row r="1" spans="1:8" x14ac:dyDescent="0.25">
      <c r="A1" s="2" t="s">
        <v>2</v>
      </c>
      <c r="B1" t="s">
        <v>846</v>
      </c>
    </row>
    <row r="3" spans="1:8" x14ac:dyDescent="0.25">
      <c r="A3" s="2" t="s">
        <v>841</v>
      </c>
      <c r="B3" s="3" t="s">
        <v>843</v>
      </c>
      <c r="C3" s="5" t="s">
        <v>844</v>
      </c>
      <c r="D3" s="7" t="s">
        <v>845</v>
      </c>
      <c r="E3" s="16" t="s">
        <v>847</v>
      </c>
      <c r="F3" t="s">
        <v>848</v>
      </c>
    </row>
    <row r="4" spans="1:8" x14ac:dyDescent="0.25">
      <c r="A4" s="9" t="s">
        <v>62</v>
      </c>
      <c r="B4" s="10">
        <v>140596.31</v>
      </c>
      <c r="C4" s="10">
        <v>6959141</v>
      </c>
      <c r="D4" s="10">
        <v>37489000</v>
      </c>
      <c r="E4" s="11">
        <f>SUM(B4:D4)</f>
        <v>44588737.310000002</v>
      </c>
      <c r="G4" s="8" t="s">
        <v>845</v>
      </c>
      <c r="H4" s="15">
        <v>28822992000</v>
      </c>
    </row>
    <row r="5" spans="1:8" x14ac:dyDescent="0.25">
      <c r="A5" s="9" t="s">
        <v>10</v>
      </c>
      <c r="B5" s="10">
        <v>12330121.74</v>
      </c>
      <c r="C5" s="10">
        <v>430747358.54000002</v>
      </c>
      <c r="D5" s="10">
        <v>1624916000</v>
      </c>
      <c r="E5" s="11">
        <f t="shared" ref="E5:E11" si="0">SUM(B5:D5)</f>
        <v>2067993480.28</v>
      </c>
      <c r="G5" s="6" t="s">
        <v>844</v>
      </c>
      <c r="H5" s="15">
        <v>6351765457.0200005</v>
      </c>
    </row>
    <row r="6" spans="1:8" x14ac:dyDescent="0.25">
      <c r="A6" s="9" t="s">
        <v>320</v>
      </c>
      <c r="B6" s="10">
        <v>2882706.89</v>
      </c>
      <c r="C6" s="10">
        <v>42296272.100000001</v>
      </c>
      <c r="D6" s="10">
        <v>117982000</v>
      </c>
      <c r="E6" s="11">
        <f t="shared" si="0"/>
        <v>163160978.99000001</v>
      </c>
      <c r="G6" s="4" t="s">
        <v>843</v>
      </c>
      <c r="H6" s="15">
        <v>610539048.36000001</v>
      </c>
    </row>
    <row r="7" spans="1:8" x14ac:dyDescent="0.25">
      <c r="A7" s="9" t="s">
        <v>66</v>
      </c>
      <c r="B7" s="10">
        <v>115727.34</v>
      </c>
      <c r="C7" s="10">
        <v>4806903.79</v>
      </c>
      <c r="D7" s="10">
        <v>32327000</v>
      </c>
      <c r="E7" s="11">
        <f t="shared" si="0"/>
        <v>37249631.130000003</v>
      </c>
    </row>
    <row r="8" spans="1:8" x14ac:dyDescent="0.25">
      <c r="A8" s="9" t="s">
        <v>216</v>
      </c>
      <c r="B8" s="10">
        <v>95336470.739999995</v>
      </c>
      <c r="C8" s="10">
        <v>608813729.71000004</v>
      </c>
      <c r="D8" s="10">
        <v>2960867000</v>
      </c>
      <c r="E8" s="11">
        <f t="shared" si="0"/>
        <v>3665017200.4499998</v>
      </c>
    </row>
    <row r="9" spans="1:8" x14ac:dyDescent="0.25">
      <c r="A9" s="9" t="s">
        <v>842</v>
      </c>
      <c r="B9" s="12">
        <v>110805623.02</v>
      </c>
      <c r="C9" s="13">
        <v>1093623405.1400001</v>
      </c>
      <c r="D9" s="14">
        <v>4773581000</v>
      </c>
      <c r="E9" s="11">
        <f t="shared" si="0"/>
        <v>5978010028.1599998</v>
      </c>
    </row>
    <row r="10" spans="1:8" x14ac:dyDescent="0.25">
      <c r="E10" s="11">
        <f t="shared" si="0"/>
        <v>0</v>
      </c>
    </row>
    <row r="11" spans="1:8" x14ac:dyDescent="0.25">
      <c r="E11" s="11">
        <f t="shared" si="0"/>
        <v>0</v>
      </c>
    </row>
    <row r="18" spans="5:5" x14ac:dyDescent="0.25">
      <c r="E18" s="9"/>
    </row>
  </sheetData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0A549-129A-4CEA-AF4A-A87C00102420}">
  <sheetPr>
    <tabColor rgb="FFFFFF00"/>
  </sheetPr>
  <dimension ref="A1:H18"/>
  <sheetViews>
    <sheetView tabSelected="1" topLeftCell="A4" zoomScale="130" zoomScaleNormal="130" workbookViewId="0">
      <selection activeCell="D13" sqref="D13"/>
    </sheetView>
  </sheetViews>
  <sheetFormatPr defaultRowHeight="15" x14ac:dyDescent="0.25"/>
  <cols>
    <col min="1" max="1" width="46.85546875" bestFit="1" customWidth="1"/>
    <col min="2" max="2" width="24.28515625" bestFit="1" customWidth="1"/>
    <col min="3" max="4" width="26.7109375" bestFit="1" customWidth="1"/>
    <col min="5" max="5" width="34.85546875" bestFit="1" customWidth="1"/>
    <col min="6" max="6" width="30.28515625" customWidth="1"/>
    <col min="7" max="7" width="35.42578125" bestFit="1" customWidth="1"/>
    <col min="8" max="8" width="28.7109375" bestFit="1" customWidth="1"/>
    <col min="9" max="9" width="69.7109375" bestFit="1" customWidth="1"/>
    <col min="10" max="10" width="100.28515625" bestFit="1" customWidth="1"/>
    <col min="11" max="11" width="44.85546875" bestFit="1" customWidth="1"/>
    <col min="12" max="12" width="58" bestFit="1" customWidth="1"/>
    <col min="13" max="13" width="34.28515625" bestFit="1" customWidth="1"/>
    <col min="14" max="14" width="36.85546875" bestFit="1" customWidth="1"/>
    <col min="15" max="15" width="46.85546875" bestFit="1" customWidth="1"/>
    <col min="16" max="16" width="93.28515625" bestFit="1" customWidth="1"/>
    <col min="17" max="17" width="27.85546875" bestFit="1" customWidth="1"/>
    <col min="18" max="18" width="75.42578125" bestFit="1" customWidth="1"/>
    <col min="19" max="19" width="80.28515625" bestFit="1" customWidth="1"/>
    <col min="20" max="20" width="75" bestFit="1" customWidth="1"/>
    <col min="21" max="21" width="65.85546875" bestFit="1" customWidth="1"/>
    <col min="22" max="22" width="64.28515625" bestFit="1" customWidth="1"/>
    <col min="23" max="23" width="67" bestFit="1" customWidth="1"/>
    <col min="24" max="24" width="15.5703125" bestFit="1" customWidth="1"/>
    <col min="25" max="25" width="51.7109375" bestFit="1" customWidth="1"/>
    <col min="26" max="26" width="68.140625" bestFit="1" customWidth="1"/>
    <col min="27" max="27" width="86" bestFit="1" customWidth="1"/>
    <col min="28" max="28" width="60.5703125" bestFit="1" customWidth="1"/>
    <col min="29" max="29" width="44.7109375" bestFit="1" customWidth="1"/>
    <col min="30" max="30" width="70.7109375" bestFit="1" customWidth="1"/>
    <col min="31" max="31" width="98.42578125" bestFit="1" customWidth="1"/>
    <col min="32" max="32" width="60.5703125" bestFit="1" customWidth="1"/>
    <col min="33" max="33" width="63" bestFit="1" customWidth="1"/>
    <col min="34" max="34" width="81.7109375" bestFit="1" customWidth="1"/>
    <col min="35" max="35" width="89" bestFit="1" customWidth="1"/>
    <col min="36" max="36" width="71.140625" bestFit="1" customWidth="1"/>
    <col min="37" max="37" width="86.140625" bestFit="1" customWidth="1"/>
    <col min="38" max="38" width="71.42578125" bestFit="1" customWidth="1"/>
    <col min="39" max="39" width="96.140625" bestFit="1" customWidth="1"/>
    <col min="40" max="40" width="97" bestFit="1" customWidth="1"/>
    <col min="41" max="41" width="80.5703125" bestFit="1" customWidth="1"/>
    <col min="42" max="42" width="92.42578125" bestFit="1" customWidth="1"/>
    <col min="43" max="43" width="70.5703125" bestFit="1" customWidth="1"/>
    <col min="44" max="44" width="70.7109375" bestFit="1" customWidth="1"/>
    <col min="45" max="45" width="61.5703125" bestFit="1" customWidth="1"/>
    <col min="46" max="46" width="49.5703125" bestFit="1" customWidth="1"/>
    <col min="47" max="47" width="53.28515625" bestFit="1" customWidth="1"/>
    <col min="48" max="48" width="20.5703125" bestFit="1" customWidth="1"/>
    <col min="49" max="49" width="64.5703125" bestFit="1" customWidth="1"/>
    <col min="50" max="50" width="59.5703125" bestFit="1" customWidth="1"/>
    <col min="51" max="51" width="39.5703125" bestFit="1" customWidth="1"/>
    <col min="52" max="52" width="31.42578125" bestFit="1" customWidth="1"/>
    <col min="53" max="53" width="20.28515625" bestFit="1" customWidth="1"/>
    <col min="54" max="54" width="86.140625" bestFit="1" customWidth="1"/>
    <col min="55" max="55" width="83.28515625" bestFit="1" customWidth="1"/>
    <col min="56" max="56" width="95.5703125" bestFit="1" customWidth="1"/>
    <col min="57" max="57" width="8.7109375" bestFit="1" customWidth="1"/>
    <col min="58" max="58" width="18.5703125" bestFit="1" customWidth="1"/>
    <col min="59" max="59" width="27.140625" bestFit="1" customWidth="1"/>
    <col min="60" max="60" width="48.42578125" bestFit="1" customWidth="1"/>
    <col min="61" max="61" width="49" bestFit="1" customWidth="1"/>
    <col min="62" max="62" width="46.7109375" bestFit="1" customWidth="1"/>
    <col min="63" max="63" width="48.7109375" bestFit="1" customWidth="1"/>
    <col min="64" max="64" width="47.28515625" bestFit="1" customWidth="1"/>
    <col min="65" max="65" width="49.7109375" bestFit="1" customWidth="1"/>
    <col min="66" max="66" width="41.85546875" bestFit="1" customWidth="1"/>
    <col min="67" max="67" width="27.85546875" bestFit="1" customWidth="1"/>
    <col min="68" max="68" width="30.85546875" bestFit="1" customWidth="1"/>
    <col min="69" max="69" width="60.140625" bestFit="1" customWidth="1"/>
    <col min="70" max="70" width="66" bestFit="1" customWidth="1"/>
    <col min="71" max="71" width="33.28515625" bestFit="1" customWidth="1"/>
    <col min="72" max="72" width="63.28515625" bestFit="1" customWidth="1"/>
    <col min="73" max="73" width="45.7109375" bestFit="1" customWidth="1"/>
    <col min="74" max="74" width="70" bestFit="1" customWidth="1"/>
    <col min="75" max="75" width="32.7109375" bestFit="1" customWidth="1"/>
    <col min="76" max="76" width="12.140625" bestFit="1" customWidth="1"/>
    <col min="77" max="77" width="20.5703125" bestFit="1" customWidth="1"/>
    <col min="78" max="78" width="26" bestFit="1" customWidth="1"/>
    <col min="79" max="79" width="104" bestFit="1" customWidth="1"/>
    <col min="80" max="80" width="99" bestFit="1" customWidth="1"/>
    <col min="81" max="81" width="52.140625" bestFit="1" customWidth="1"/>
    <col min="82" max="82" width="42.42578125" bestFit="1" customWidth="1"/>
    <col min="83" max="83" width="46.5703125" bestFit="1" customWidth="1"/>
    <col min="84" max="84" width="13.140625" bestFit="1" customWidth="1"/>
    <col min="85" max="85" width="14" bestFit="1" customWidth="1"/>
    <col min="86" max="86" width="14.5703125" bestFit="1" customWidth="1"/>
    <col min="87" max="87" width="12.140625" bestFit="1" customWidth="1"/>
    <col min="88" max="88" width="14.28515625" bestFit="1" customWidth="1"/>
    <col min="89" max="89" width="15.85546875" bestFit="1" customWidth="1"/>
    <col min="90" max="90" width="12.5703125" bestFit="1" customWidth="1"/>
    <col min="91" max="91" width="42.7109375" bestFit="1" customWidth="1"/>
    <col min="92" max="92" width="60.42578125" bestFit="1" customWidth="1"/>
    <col min="93" max="93" width="61.42578125" bestFit="1" customWidth="1"/>
    <col min="94" max="94" width="83.28515625" bestFit="1" customWidth="1"/>
    <col min="95" max="95" width="26.42578125" bestFit="1" customWidth="1"/>
    <col min="96" max="96" width="42.28515625" bestFit="1" customWidth="1"/>
    <col min="97" max="97" width="51.42578125" bestFit="1" customWidth="1"/>
    <col min="98" max="98" width="87.28515625" bestFit="1" customWidth="1"/>
    <col min="99" max="99" width="50.140625" bestFit="1" customWidth="1"/>
    <col min="100" max="100" width="34.28515625" bestFit="1" customWidth="1"/>
    <col min="101" max="101" width="87.28515625" bestFit="1" customWidth="1"/>
    <col min="102" max="102" width="65.140625" bestFit="1" customWidth="1"/>
    <col min="103" max="103" width="81.5703125" bestFit="1" customWidth="1"/>
    <col min="104" max="104" width="40.85546875" bestFit="1" customWidth="1"/>
    <col min="105" max="105" width="82" bestFit="1" customWidth="1"/>
    <col min="106" max="106" width="59" bestFit="1" customWidth="1"/>
    <col min="107" max="107" width="36.42578125" bestFit="1" customWidth="1"/>
    <col min="108" max="108" width="24.28515625" bestFit="1" customWidth="1"/>
    <col min="109" max="109" width="65.42578125" bestFit="1" customWidth="1"/>
    <col min="110" max="110" width="28.140625" bestFit="1" customWidth="1"/>
    <col min="111" max="111" width="60.7109375" bestFit="1" customWidth="1"/>
    <col min="112" max="112" width="65" bestFit="1" customWidth="1"/>
    <col min="113" max="113" width="79.85546875" bestFit="1" customWidth="1"/>
    <col min="114" max="114" width="67.28515625" bestFit="1" customWidth="1"/>
    <col min="115" max="115" width="41.140625" bestFit="1" customWidth="1"/>
    <col min="116" max="116" width="43.85546875" bestFit="1" customWidth="1"/>
    <col min="117" max="117" width="42.42578125" bestFit="1" customWidth="1"/>
    <col min="118" max="118" width="65.7109375" bestFit="1" customWidth="1"/>
    <col min="119" max="119" width="58.7109375" bestFit="1" customWidth="1"/>
    <col min="120" max="120" width="53.7109375" bestFit="1" customWidth="1"/>
    <col min="121" max="121" width="74.42578125" bestFit="1" customWidth="1"/>
    <col min="122" max="122" width="56.85546875" bestFit="1" customWidth="1"/>
    <col min="123" max="123" width="55" bestFit="1" customWidth="1"/>
    <col min="124" max="124" width="69.7109375" bestFit="1" customWidth="1"/>
    <col min="125" max="125" width="56.28515625" bestFit="1" customWidth="1"/>
    <col min="126" max="126" width="51.42578125" bestFit="1" customWidth="1"/>
    <col min="127" max="127" width="57.140625" bestFit="1" customWidth="1"/>
    <col min="128" max="128" width="55.5703125" bestFit="1" customWidth="1"/>
    <col min="129" max="129" width="56.7109375" bestFit="1" customWidth="1"/>
    <col min="130" max="130" width="57" bestFit="1" customWidth="1"/>
    <col min="131" max="131" width="98.85546875" bestFit="1" customWidth="1"/>
    <col min="132" max="132" width="93.7109375" bestFit="1" customWidth="1"/>
    <col min="133" max="133" width="10.42578125" bestFit="1" customWidth="1"/>
    <col min="134" max="134" width="71.140625" bestFit="1" customWidth="1"/>
    <col min="135" max="135" width="62.42578125" bestFit="1" customWidth="1"/>
    <col min="136" max="136" width="31.42578125" bestFit="1" customWidth="1"/>
    <col min="137" max="137" width="26.140625" bestFit="1" customWidth="1"/>
    <col min="138" max="138" width="94.5703125" bestFit="1" customWidth="1"/>
    <col min="139" max="139" width="47.28515625" bestFit="1" customWidth="1"/>
    <col min="140" max="140" width="14.28515625" bestFit="1" customWidth="1"/>
    <col min="141" max="141" width="46.5703125" bestFit="1" customWidth="1"/>
    <col min="142" max="142" width="117" bestFit="1" customWidth="1"/>
    <col min="143" max="143" width="31.85546875" bestFit="1" customWidth="1"/>
    <col min="144" max="144" width="71.140625" bestFit="1" customWidth="1"/>
    <col min="145" max="145" width="70.5703125" bestFit="1" customWidth="1"/>
    <col min="146" max="146" width="72.85546875" bestFit="1" customWidth="1"/>
    <col min="147" max="147" width="84.28515625" bestFit="1" customWidth="1"/>
    <col min="148" max="148" width="75.7109375" bestFit="1" customWidth="1"/>
    <col min="149" max="149" width="73.42578125" bestFit="1" customWidth="1"/>
    <col min="150" max="150" width="63.140625" bestFit="1" customWidth="1"/>
    <col min="151" max="151" width="73" bestFit="1" customWidth="1"/>
    <col min="152" max="152" width="80" bestFit="1" customWidth="1"/>
    <col min="153" max="153" width="82.28515625" bestFit="1" customWidth="1"/>
    <col min="154" max="154" width="149.28515625" bestFit="1" customWidth="1"/>
    <col min="155" max="155" width="111.7109375" bestFit="1" customWidth="1"/>
    <col min="156" max="156" width="97.42578125" bestFit="1" customWidth="1"/>
    <col min="157" max="157" width="88.5703125" bestFit="1" customWidth="1"/>
    <col min="158" max="158" width="79.7109375" bestFit="1" customWidth="1"/>
    <col min="159" max="159" width="98.5703125" bestFit="1" customWidth="1"/>
    <col min="160" max="160" width="77.7109375" bestFit="1" customWidth="1"/>
    <col min="161" max="161" width="93.28515625" bestFit="1" customWidth="1"/>
    <col min="162" max="162" width="73.28515625" bestFit="1" customWidth="1"/>
    <col min="163" max="163" width="107.140625" bestFit="1" customWidth="1"/>
    <col min="164" max="164" width="106.7109375" bestFit="1" customWidth="1"/>
    <col min="165" max="165" width="119" bestFit="1" customWidth="1"/>
    <col min="166" max="166" width="136" bestFit="1" customWidth="1"/>
    <col min="167" max="167" width="136.28515625" bestFit="1" customWidth="1"/>
    <col min="168" max="168" width="94.42578125" bestFit="1" customWidth="1"/>
    <col min="169" max="169" width="99" bestFit="1" customWidth="1"/>
    <col min="170" max="170" width="124.5703125" bestFit="1" customWidth="1"/>
    <col min="171" max="171" width="92.140625" bestFit="1" customWidth="1"/>
    <col min="172" max="172" width="100.28515625" bestFit="1" customWidth="1"/>
    <col min="173" max="173" width="68.140625" bestFit="1" customWidth="1"/>
    <col min="174" max="174" width="44.140625" bestFit="1" customWidth="1"/>
    <col min="175" max="175" width="52.140625" bestFit="1" customWidth="1"/>
    <col min="176" max="176" width="69" bestFit="1" customWidth="1"/>
    <col min="177" max="177" width="101.28515625" bestFit="1" customWidth="1"/>
    <col min="178" max="178" width="66.140625" bestFit="1" customWidth="1"/>
    <col min="179" max="179" width="103.7109375" bestFit="1" customWidth="1"/>
    <col min="180" max="180" width="102.5703125" bestFit="1" customWidth="1"/>
    <col min="181" max="181" width="125.5703125" bestFit="1" customWidth="1"/>
    <col min="182" max="182" width="117.5703125" bestFit="1" customWidth="1"/>
    <col min="183" max="183" width="119.28515625" bestFit="1" customWidth="1"/>
    <col min="184" max="184" width="124.42578125" bestFit="1" customWidth="1"/>
    <col min="185" max="190" width="117" bestFit="1" customWidth="1"/>
    <col min="191" max="191" width="114.42578125" bestFit="1" customWidth="1"/>
    <col min="192" max="192" width="119.42578125" bestFit="1" customWidth="1"/>
    <col min="193" max="193" width="115.42578125" bestFit="1" customWidth="1"/>
    <col min="194" max="196" width="117" bestFit="1" customWidth="1"/>
    <col min="197" max="197" width="113.7109375" bestFit="1" customWidth="1"/>
    <col min="198" max="198" width="115" bestFit="1" customWidth="1"/>
    <col min="199" max="200" width="117" bestFit="1" customWidth="1"/>
    <col min="201" max="201" width="115" bestFit="1" customWidth="1"/>
    <col min="202" max="202" width="123.140625" bestFit="1" customWidth="1"/>
    <col min="203" max="203" width="97.42578125" bestFit="1" customWidth="1"/>
    <col min="204" max="204" width="78.140625" bestFit="1" customWidth="1"/>
    <col min="205" max="205" width="111.140625" bestFit="1" customWidth="1"/>
    <col min="206" max="206" width="84" bestFit="1" customWidth="1"/>
    <col min="207" max="207" width="113.7109375" bestFit="1" customWidth="1"/>
    <col min="208" max="208" width="109.28515625" bestFit="1" customWidth="1"/>
    <col min="209" max="209" width="69.85546875" bestFit="1" customWidth="1"/>
    <col min="210" max="210" width="69.28515625" bestFit="1" customWidth="1"/>
    <col min="211" max="211" width="52.42578125" bestFit="1" customWidth="1"/>
    <col min="212" max="212" width="93.140625" bestFit="1" customWidth="1"/>
    <col min="213" max="213" width="109" bestFit="1" customWidth="1"/>
    <col min="214" max="214" width="65.85546875" bestFit="1" customWidth="1"/>
    <col min="215" max="215" width="77.7109375" bestFit="1" customWidth="1"/>
    <col min="216" max="216" width="33.85546875" bestFit="1" customWidth="1"/>
    <col min="217" max="217" width="68.85546875" bestFit="1" customWidth="1"/>
    <col min="218" max="218" width="86.5703125" bestFit="1" customWidth="1"/>
    <col min="219" max="219" width="81.85546875" bestFit="1" customWidth="1"/>
    <col min="220" max="220" width="150.42578125" bestFit="1" customWidth="1"/>
    <col min="221" max="221" width="78.7109375" bestFit="1" customWidth="1"/>
    <col min="222" max="222" width="87.7109375" bestFit="1" customWidth="1"/>
    <col min="223" max="223" width="109.5703125" bestFit="1" customWidth="1"/>
    <col min="224" max="224" width="92.85546875" bestFit="1" customWidth="1"/>
    <col min="225" max="225" width="76.42578125" bestFit="1" customWidth="1"/>
    <col min="226" max="226" width="113.5703125" bestFit="1" customWidth="1"/>
    <col min="227" max="227" width="76.42578125" bestFit="1" customWidth="1"/>
    <col min="228" max="228" width="60.42578125" bestFit="1" customWidth="1"/>
    <col min="229" max="229" width="56.7109375" bestFit="1" customWidth="1"/>
    <col min="230" max="230" width="72.28515625" bestFit="1" customWidth="1"/>
    <col min="231" max="231" width="73.7109375" bestFit="1" customWidth="1"/>
    <col min="232" max="232" width="106.85546875" bestFit="1" customWidth="1"/>
    <col min="233" max="233" width="84.28515625" bestFit="1" customWidth="1"/>
    <col min="234" max="234" width="61.140625" bestFit="1" customWidth="1"/>
    <col min="235" max="235" width="57.85546875" bestFit="1" customWidth="1"/>
    <col min="236" max="236" width="91.5703125" bestFit="1" customWidth="1"/>
    <col min="237" max="237" width="66.7109375" bestFit="1" customWidth="1"/>
    <col min="238" max="238" width="131.85546875" bestFit="1" customWidth="1"/>
    <col min="239" max="239" width="55.140625" bestFit="1" customWidth="1"/>
    <col min="240" max="240" width="54.28515625" bestFit="1" customWidth="1"/>
    <col min="241" max="241" width="99.140625" bestFit="1" customWidth="1"/>
    <col min="242" max="242" width="89.5703125" bestFit="1" customWidth="1"/>
    <col min="243" max="243" width="43.85546875" bestFit="1" customWidth="1"/>
    <col min="244" max="244" width="71.28515625" bestFit="1" customWidth="1"/>
    <col min="245" max="245" width="60.28515625" bestFit="1" customWidth="1"/>
    <col min="246" max="246" width="72.28515625" bestFit="1" customWidth="1"/>
    <col min="247" max="247" width="67.7109375" bestFit="1" customWidth="1"/>
    <col min="248" max="248" width="49.85546875" bestFit="1" customWidth="1"/>
    <col min="249" max="249" width="79.42578125" bestFit="1" customWidth="1"/>
    <col min="250" max="250" width="38.42578125" bestFit="1" customWidth="1"/>
    <col min="251" max="251" width="65.42578125" bestFit="1" customWidth="1"/>
    <col min="252" max="252" width="78" bestFit="1" customWidth="1"/>
    <col min="253" max="253" width="80.28515625" bestFit="1" customWidth="1"/>
    <col min="254" max="254" width="95" bestFit="1" customWidth="1"/>
    <col min="255" max="255" width="43.140625" bestFit="1" customWidth="1"/>
    <col min="256" max="256" width="59.28515625" bestFit="1" customWidth="1"/>
    <col min="257" max="257" width="35.28515625" bestFit="1" customWidth="1"/>
    <col min="258" max="258" width="41.85546875" bestFit="1" customWidth="1"/>
    <col min="259" max="259" width="63" bestFit="1" customWidth="1"/>
    <col min="260" max="260" width="81.28515625" bestFit="1" customWidth="1"/>
    <col min="261" max="261" width="39.7109375" bestFit="1" customWidth="1"/>
    <col min="262" max="262" width="92.85546875" bestFit="1" customWidth="1"/>
    <col min="263" max="263" width="72.140625" bestFit="1" customWidth="1"/>
    <col min="264" max="264" width="73.5703125" bestFit="1" customWidth="1"/>
    <col min="265" max="265" width="90.42578125" bestFit="1" customWidth="1"/>
    <col min="266" max="266" width="82.28515625" bestFit="1" customWidth="1"/>
    <col min="267" max="267" width="127" bestFit="1" customWidth="1"/>
    <col min="268" max="268" width="84.85546875" bestFit="1" customWidth="1"/>
    <col min="269" max="269" width="120" bestFit="1" customWidth="1"/>
    <col min="270" max="270" width="136.140625" bestFit="1" customWidth="1"/>
    <col min="271" max="271" width="113" bestFit="1" customWidth="1"/>
    <col min="272" max="272" width="114.5703125" bestFit="1" customWidth="1"/>
    <col min="273" max="273" width="111" bestFit="1" customWidth="1"/>
    <col min="274" max="274" width="44" bestFit="1" customWidth="1"/>
    <col min="275" max="275" width="48.5703125" bestFit="1" customWidth="1"/>
    <col min="276" max="276" width="32.140625" bestFit="1" customWidth="1"/>
    <col min="277" max="277" width="63.42578125" bestFit="1" customWidth="1"/>
    <col min="278" max="278" width="51" bestFit="1" customWidth="1"/>
    <col min="279" max="279" width="53.42578125" bestFit="1" customWidth="1"/>
    <col min="280" max="280" width="41.5703125" bestFit="1" customWidth="1"/>
    <col min="281" max="281" width="48.42578125" bestFit="1" customWidth="1"/>
    <col min="282" max="282" width="45.42578125" bestFit="1" customWidth="1"/>
    <col min="283" max="283" width="39.140625" bestFit="1" customWidth="1"/>
    <col min="284" max="284" width="45" bestFit="1" customWidth="1"/>
    <col min="285" max="285" width="70.85546875" bestFit="1" customWidth="1"/>
    <col min="286" max="286" width="34.140625" bestFit="1" customWidth="1"/>
    <col min="287" max="287" width="44" bestFit="1" customWidth="1"/>
    <col min="288" max="288" width="44.28515625" bestFit="1" customWidth="1"/>
    <col min="289" max="289" width="59" bestFit="1" customWidth="1"/>
    <col min="290" max="290" width="61.85546875" bestFit="1" customWidth="1"/>
    <col min="291" max="291" width="56" bestFit="1" customWidth="1"/>
    <col min="292" max="292" width="75.7109375" bestFit="1" customWidth="1"/>
    <col min="293" max="293" width="46.7109375" bestFit="1" customWidth="1"/>
    <col min="294" max="294" width="47.28515625" bestFit="1" customWidth="1"/>
    <col min="295" max="295" width="58.28515625" bestFit="1" customWidth="1"/>
    <col min="296" max="296" width="41.7109375" bestFit="1" customWidth="1"/>
    <col min="297" max="297" width="81" bestFit="1" customWidth="1"/>
    <col min="298" max="298" width="22.7109375" bestFit="1" customWidth="1"/>
    <col min="299" max="299" width="42.5703125" bestFit="1" customWidth="1"/>
    <col min="300" max="300" width="22.28515625" bestFit="1" customWidth="1"/>
    <col min="301" max="301" width="50.5703125" bestFit="1" customWidth="1"/>
    <col min="302" max="302" width="17" bestFit="1" customWidth="1"/>
    <col min="303" max="303" width="28.140625" bestFit="1" customWidth="1"/>
    <col min="304" max="304" width="75.85546875" bestFit="1" customWidth="1"/>
    <col min="305" max="305" width="76.5703125" bestFit="1" customWidth="1"/>
    <col min="306" max="306" width="50.140625" bestFit="1" customWidth="1"/>
    <col min="307" max="307" width="67.7109375" bestFit="1" customWidth="1"/>
    <col min="308" max="308" width="56.140625" bestFit="1" customWidth="1"/>
    <col min="309" max="309" width="56.85546875" bestFit="1" customWidth="1"/>
    <col min="310" max="310" width="53.140625" bestFit="1" customWidth="1"/>
    <col min="311" max="311" width="89" bestFit="1" customWidth="1"/>
    <col min="312" max="312" width="54" bestFit="1" customWidth="1"/>
    <col min="313" max="313" width="79.5703125" bestFit="1" customWidth="1"/>
    <col min="314" max="314" width="66.28515625" bestFit="1" customWidth="1"/>
    <col min="315" max="315" width="60.28515625" bestFit="1" customWidth="1"/>
    <col min="316" max="316" width="79.140625" bestFit="1" customWidth="1"/>
    <col min="317" max="317" width="57.140625" bestFit="1" customWidth="1"/>
    <col min="318" max="318" width="54" bestFit="1" customWidth="1"/>
    <col min="319" max="319" width="45" bestFit="1" customWidth="1"/>
    <col min="320" max="320" width="52.85546875" bestFit="1" customWidth="1"/>
    <col min="321" max="321" width="68.85546875" bestFit="1" customWidth="1"/>
    <col min="322" max="322" width="21.5703125" bestFit="1" customWidth="1"/>
    <col min="323" max="323" width="20.140625" bestFit="1" customWidth="1"/>
    <col min="324" max="324" width="19.85546875" bestFit="1" customWidth="1"/>
    <col min="325" max="325" width="40" bestFit="1" customWidth="1"/>
    <col min="326" max="326" width="33" bestFit="1" customWidth="1"/>
    <col min="327" max="327" width="77.5703125" bestFit="1" customWidth="1"/>
    <col min="328" max="328" width="50.5703125" bestFit="1" customWidth="1"/>
    <col min="329" max="329" width="61.28515625" bestFit="1" customWidth="1"/>
    <col min="330" max="330" width="13.42578125" bestFit="1" customWidth="1"/>
    <col min="331" max="331" width="55.140625" bestFit="1" customWidth="1"/>
    <col min="332" max="332" width="56.140625" bestFit="1" customWidth="1"/>
    <col min="333" max="333" width="48.42578125" bestFit="1" customWidth="1"/>
    <col min="334" max="334" width="38" bestFit="1" customWidth="1"/>
    <col min="335" max="335" width="28.7109375" bestFit="1" customWidth="1"/>
    <col min="336" max="336" width="46.7109375" bestFit="1" customWidth="1"/>
    <col min="337" max="337" width="33.42578125" bestFit="1" customWidth="1"/>
    <col min="338" max="338" width="66.5703125" bestFit="1" customWidth="1"/>
    <col min="339" max="339" width="57.85546875" bestFit="1" customWidth="1"/>
    <col min="340" max="340" width="39.5703125" bestFit="1" customWidth="1"/>
    <col min="341" max="341" width="56.5703125" bestFit="1" customWidth="1"/>
    <col min="342" max="342" width="30.140625" bestFit="1" customWidth="1"/>
    <col min="343" max="343" width="46" bestFit="1" customWidth="1"/>
    <col min="344" max="344" width="30.85546875" bestFit="1" customWidth="1"/>
    <col min="345" max="345" width="55.5703125" bestFit="1" customWidth="1"/>
    <col min="346" max="346" width="20.85546875" bestFit="1" customWidth="1"/>
    <col min="347" max="347" width="39.42578125" bestFit="1" customWidth="1"/>
    <col min="348" max="348" width="18.5703125" bestFit="1" customWidth="1"/>
    <col min="349" max="349" width="46.28515625" bestFit="1" customWidth="1"/>
    <col min="350" max="350" width="35.140625" bestFit="1" customWidth="1"/>
    <col min="351" max="351" width="68.5703125" bestFit="1" customWidth="1"/>
    <col min="352" max="352" width="51.7109375" bestFit="1" customWidth="1"/>
    <col min="353" max="353" width="29.85546875" bestFit="1" customWidth="1"/>
    <col min="354" max="354" width="52" bestFit="1" customWidth="1"/>
    <col min="355" max="355" width="46.85546875" bestFit="1" customWidth="1"/>
    <col min="356" max="356" width="6.7109375" bestFit="1" customWidth="1"/>
    <col min="357" max="357" width="44.85546875" bestFit="1" customWidth="1"/>
    <col min="358" max="358" width="53.5703125" bestFit="1" customWidth="1"/>
    <col min="359" max="359" width="34.85546875" bestFit="1" customWidth="1"/>
    <col min="360" max="360" width="41.85546875" bestFit="1" customWidth="1"/>
    <col min="361" max="361" width="93.85546875" bestFit="1" customWidth="1"/>
    <col min="362" max="362" width="41" bestFit="1" customWidth="1"/>
    <col min="363" max="363" width="75" bestFit="1" customWidth="1"/>
    <col min="364" max="364" width="27.7109375" bestFit="1" customWidth="1"/>
    <col min="365" max="365" width="46.85546875" bestFit="1" customWidth="1"/>
    <col min="366" max="366" width="89.7109375" bestFit="1" customWidth="1"/>
    <col min="367" max="367" width="27.42578125" bestFit="1" customWidth="1"/>
    <col min="368" max="368" width="61.140625" bestFit="1" customWidth="1"/>
    <col min="369" max="369" width="84" bestFit="1" customWidth="1"/>
    <col min="370" max="370" width="68.5703125" bestFit="1" customWidth="1"/>
    <col min="371" max="371" width="69" bestFit="1" customWidth="1"/>
    <col min="372" max="372" width="85.7109375" bestFit="1" customWidth="1"/>
    <col min="373" max="373" width="67.5703125" bestFit="1" customWidth="1"/>
    <col min="374" max="374" width="61" bestFit="1" customWidth="1"/>
    <col min="375" max="375" width="42.28515625" bestFit="1" customWidth="1"/>
    <col min="376" max="376" width="49.7109375" bestFit="1" customWidth="1"/>
    <col min="377" max="377" width="190.42578125" bestFit="1" customWidth="1"/>
    <col min="378" max="378" width="79.5703125" bestFit="1" customWidth="1"/>
    <col min="379" max="379" width="190.5703125" bestFit="1" customWidth="1"/>
    <col min="380" max="380" width="121.5703125" bestFit="1" customWidth="1"/>
    <col min="381" max="381" width="125.5703125" bestFit="1" customWidth="1"/>
    <col min="382" max="382" width="122" bestFit="1" customWidth="1"/>
    <col min="383" max="383" width="117.42578125" bestFit="1" customWidth="1"/>
    <col min="384" max="384" width="113.42578125" bestFit="1" customWidth="1"/>
    <col min="385" max="385" width="119.5703125" bestFit="1" customWidth="1"/>
    <col min="386" max="386" width="70.7109375" bestFit="1" customWidth="1"/>
    <col min="387" max="387" width="158.28515625" bestFit="1" customWidth="1"/>
    <col min="388" max="388" width="158.5703125" bestFit="1" customWidth="1"/>
    <col min="389" max="389" width="78.85546875" bestFit="1" customWidth="1"/>
    <col min="390" max="390" width="84.85546875" bestFit="1" customWidth="1"/>
    <col min="391" max="391" width="79.42578125" bestFit="1" customWidth="1"/>
    <col min="392" max="392" width="94.5703125" bestFit="1" customWidth="1"/>
    <col min="393" max="393" width="62.42578125" bestFit="1" customWidth="1"/>
    <col min="394" max="394" width="145.28515625" bestFit="1" customWidth="1"/>
    <col min="395" max="395" width="155.140625" bestFit="1" customWidth="1"/>
    <col min="396" max="396" width="63.28515625" bestFit="1" customWidth="1"/>
    <col min="397" max="397" width="68" bestFit="1" customWidth="1"/>
    <col min="398" max="398" width="39.28515625" bestFit="1" customWidth="1"/>
    <col min="399" max="399" width="71.7109375" bestFit="1" customWidth="1"/>
    <col min="400" max="400" width="53.140625" bestFit="1" customWidth="1"/>
    <col min="401" max="401" width="85.5703125" bestFit="1" customWidth="1"/>
    <col min="402" max="402" width="98" bestFit="1" customWidth="1"/>
    <col min="403" max="403" width="21.7109375" bestFit="1" customWidth="1"/>
    <col min="404" max="404" width="17.42578125" bestFit="1" customWidth="1"/>
    <col min="405" max="405" width="7" bestFit="1" customWidth="1"/>
    <col min="406" max="406" width="10.7109375" bestFit="1" customWidth="1"/>
  </cols>
  <sheetData>
    <row r="1" spans="1:8" x14ac:dyDescent="0.25">
      <c r="A1" s="2" t="s">
        <v>2</v>
      </c>
      <c r="B1" t="s">
        <v>846</v>
      </c>
    </row>
    <row r="3" spans="1:8" x14ac:dyDescent="0.25">
      <c r="A3" s="17" t="s">
        <v>841</v>
      </c>
      <c r="B3" s="18" t="s">
        <v>843</v>
      </c>
      <c r="D3" t="s">
        <v>841</v>
      </c>
      <c r="E3" s="16" t="s">
        <v>843</v>
      </c>
    </row>
    <row r="4" spans="1:8" x14ac:dyDescent="0.25">
      <c r="A4" s="9" t="s">
        <v>216</v>
      </c>
      <c r="B4" s="10">
        <v>95336470.739999995</v>
      </c>
      <c r="D4" t="s">
        <v>216</v>
      </c>
      <c r="E4" s="11">
        <v>95336470.739999995</v>
      </c>
      <c r="G4" s="8"/>
      <c r="H4" s="15"/>
    </row>
    <row r="5" spans="1:8" x14ac:dyDescent="0.25">
      <c r="A5" s="9" t="s">
        <v>10</v>
      </c>
      <c r="B5" s="10">
        <v>12330121.74</v>
      </c>
      <c r="D5" t="s">
        <v>10</v>
      </c>
      <c r="E5" s="11">
        <v>12330121.74</v>
      </c>
      <c r="G5" s="6"/>
      <c r="H5" s="15"/>
    </row>
    <row r="6" spans="1:8" x14ac:dyDescent="0.25">
      <c r="A6" s="9" t="s">
        <v>320</v>
      </c>
      <c r="B6" s="10">
        <v>2882706.89</v>
      </c>
      <c r="D6" t="s">
        <v>320</v>
      </c>
      <c r="E6" s="11">
        <v>2882706.89</v>
      </c>
      <c r="G6" s="4"/>
      <c r="H6" s="15"/>
    </row>
    <row r="7" spans="1:8" x14ac:dyDescent="0.25">
      <c r="A7" s="9" t="s">
        <v>62</v>
      </c>
      <c r="B7" s="10">
        <v>140596.31</v>
      </c>
      <c r="D7" t="s">
        <v>62</v>
      </c>
      <c r="E7" s="11">
        <v>140596.31</v>
      </c>
    </row>
    <row r="8" spans="1:8" x14ac:dyDescent="0.25">
      <c r="A8" s="9" t="s">
        <v>66</v>
      </c>
      <c r="B8" s="10">
        <v>115727.34</v>
      </c>
      <c r="D8" t="s">
        <v>66</v>
      </c>
      <c r="E8" s="11">
        <v>115727.34</v>
      </c>
    </row>
    <row r="9" spans="1:8" x14ac:dyDescent="0.25">
      <c r="A9" s="9" t="s">
        <v>842</v>
      </c>
      <c r="B9" s="12">
        <v>110805623.02</v>
      </c>
      <c r="E9" s="11"/>
    </row>
    <row r="10" spans="1:8" x14ac:dyDescent="0.25">
      <c r="E10" s="11"/>
    </row>
    <row r="11" spans="1:8" x14ac:dyDescent="0.25">
      <c r="E11" s="11"/>
    </row>
    <row r="18" spans="5:5" x14ac:dyDescent="0.25">
      <c r="E18" s="9"/>
    </row>
  </sheetData>
  <pageMargins left="0.511811024" right="0.511811024" top="0.78740157499999996" bottom="0.78740157499999996" header="0.31496062000000002" footer="0.31496062000000002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BD- BC -Marco</vt:lpstr>
      <vt:lpstr>Resumo</vt:lpstr>
      <vt:lpstr>Aprimoramento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2026-03-07T00:53:26Z</dcterms:created>
  <dcterms:modified xsi:type="dcterms:W3CDTF">2026-03-13T00:28:48Z</dcterms:modified>
</cp:coreProperties>
</file>